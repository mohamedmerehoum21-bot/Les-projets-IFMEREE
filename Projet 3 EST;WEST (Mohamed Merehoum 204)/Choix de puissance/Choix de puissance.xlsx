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t 3 EST;WEST (Mohamed Merehoum 204)\Choix de puissance\"/>
    </mc:Choice>
  </mc:AlternateContent>
  <xr:revisionPtr revIDLastSave="0" documentId="13_ncr:1_{8290275B-F60A-4D39-B117-B575CDE2A8B2}" xr6:coauthVersionLast="36" xr6:coauthVersionMax="36" xr10:uidLastSave="{00000000-0000-0000-0000-000000000000}"/>
  <bookViews>
    <workbookView xWindow="0" yWindow="0" windowWidth="17256" windowHeight="5640" xr2:uid="{21F287E2-C9C9-472D-AD0C-191916A2861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D8" i="1" l="1"/>
  <c r="D10" i="1" l="1"/>
  <c r="D9" i="1"/>
</calcChain>
</file>

<file path=xl/sharedStrings.xml><?xml version="1.0" encoding="utf-8"?>
<sst xmlns="http://schemas.openxmlformats.org/spreadsheetml/2006/main" count="155" uniqueCount="48">
  <si>
    <t>Mois</t>
  </si>
  <si>
    <t>Heures normal</t>
  </si>
  <si>
    <t>Heures creuse</t>
  </si>
  <si>
    <t>Heures de points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</si>
  <si>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</si>
  <si>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</si>
  <si>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</si>
  <si>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</si>
  <si>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</si>
  <si>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</si>
  <si>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</si>
  <si>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</si>
  <si>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</si>
  <si>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</si>
  <si>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</si>
  <si>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</si>
  <si>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Consommation de la société [KWh]</t>
  </si>
  <si>
    <t>Global horizontal</t>
  </si>
  <si>
    <t>Plan capteurs</t>
  </si>
  <si>
    <t>Sortie système</t>
  </si>
  <si>
    <t>kWh/m²/jour</t>
  </si>
  <si>
    <t>kWh/jour</t>
  </si>
  <si>
    <t>kWh</t>
  </si>
  <si>
    <t>Jan.</t>
  </si>
  <si>
    <t>Fév.</t>
  </si>
  <si>
    <t>Mars</t>
  </si>
  <si>
    <t>Avr.</t>
  </si>
  <si>
    <t>Mai</t>
  </si>
  <si>
    <t>Juin</t>
  </si>
  <si>
    <t>Jui.</t>
  </si>
  <si>
    <t>Août</t>
  </si>
  <si>
    <t>Sep.</t>
  </si>
  <si>
    <t>Oct.</t>
  </si>
  <si>
    <t>Nov.</t>
  </si>
  <si>
    <t>Déc.</t>
  </si>
  <si>
    <t>Ann.</t>
  </si>
  <si>
    <t>Consommation moyenne</t>
  </si>
  <si>
    <t>Consommation Min</t>
  </si>
  <si>
    <t>Irr moyenne</t>
  </si>
  <si>
    <t>Irr min</t>
  </si>
  <si>
    <t>Production avec Pc = 1496</t>
  </si>
  <si>
    <t>Consommation max</t>
  </si>
  <si>
    <t>Irr max</t>
  </si>
  <si>
    <t>Production avec Pc = 1557,70</t>
  </si>
  <si>
    <t>Production avec Pc = 1778,14</t>
  </si>
  <si>
    <t>Production avec Pc = 142,42</t>
  </si>
  <si>
    <t>Production Est</t>
  </si>
  <si>
    <t>Production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</si>
</sst>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2" borderId="1" xfId="0" applyFill="1" applyBorder="1"/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Feuil1!$B$4</c:f>
              <c:strCache>
                <c:ptCount val="1"/>
                <c:pt idx="0">
                  <c:v>Heures normal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Feuil1!$A$15:$A$26</c:f>
              <c:strCache>
                <c:ptCount val="12"/>
                <c:pt idx="0">
                  <c:v>Jan.</c:v>
                </c:pt>
                <c:pt idx="1">
                  <c:v>Fév.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Jui.</c:v>
                </c:pt>
                <c:pt idx="7">
                  <c:v>Août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Feuil1!$C$4:$N$4</c:f>
              <c:numCache>
                <c:formatCode>General</c:formatCode>
                <c:ptCount val="12"/>
                <c:pt idx="0">
                  <c:v>280800</c:v>
                </c:pt>
                <c:pt idx="1">
                  <c:v>286100</c:v>
                </c:pt>
                <c:pt idx="2">
                  <c:v>275900</c:v>
                </c:pt>
                <c:pt idx="3">
                  <c:v>290122</c:v>
                </c:pt>
                <c:pt idx="4">
                  <c:v>285789</c:v>
                </c:pt>
                <c:pt idx="5">
                  <c:v>280780</c:v>
                </c:pt>
                <c:pt idx="6">
                  <c:v>300500</c:v>
                </c:pt>
                <c:pt idx="7">
                  <c:v>301009</c:v>
                </c:pt>
                <c:pt idx="8">
                  <c:v>269000</c:v>
                </c:pt>
                <c:pt idx="9">
                  <c:v>265890</c:v>
                </c:pt>
                <c:pt idx="10">
                  <c:v>267980</c:v>
                </c:pt>
                <c:pt idx="11">
                  <c:v>278907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E-41BB-A3F0-F3BFC53C138E}"/>
            </c:ext>
          </c:extLst>
        </c:ser>
        <c:ser>
          <c:idx val="1"/>
          <c:order val="1"/>
          <c:tx>
            <c:strRef>
              <c:f>Feuil1!$E$13</c:f>
              <c:strCache>
                <c:ptCount val="1"/>
                <c:pt idx="0">
                  <c:v>Sortie système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Feuil1!$A$15:$A$26</c:f>
              <c:strCache>
                <c:ptCount val="12"/>
                <c:pt idx="0">
                  <c:v>Jan.</c:v>
                </c:pt>
                <c:pt idx="1">
                  <c:v>Fév.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Jui.</c:v>
                </c:pt>
                <c:pt idx="7">
                  <c:v>Août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Feuil1!$E$15:$E$26</c:f>
              <c:numCache>
                <c:formatCode>General</c:formatCode>
                <c:ptCount val="12"/>
                <c:pt idx="0">
                  <c:v>202212</c:v>
                </c:pt>
                <c:pt idx="1">
                  <c:v>217884</c:v>
                </c:pt>
                <c:pt idx="2">
                  <c:v>272772</c:v>
                </c:pt>
                <c:pt idx="3">
                  <c:v>296453</c:v>
                </c:pt>
                <c:pt idx="4">
                  <c:v>310593</c:v>
                </c:pt>
                <c:pt idx="5">
                  <c:v>323500</c:v>
                </c:pt>
                <c:pt idx="6">
                  <c:v>339312</c:v>
                </c:pt>
                <c:pt idx="7">
                  <c:v>331979</c:v>
                </c:pt>
                <c:pt idx="8">
                  <c:v>291600</c:v>
                </c:pt>
                <c:pt idx="9">
                  <c:v>257613</c:v>
                </c:pt>
                <c:pt idx="10">
                  <c:v>209507</c:v>
                </c:pt>
                <c:pt idx="11">
                  <c:v>198408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3E-41BB-A3F0-F3BFC53C1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023663"/>
        <c:axId val="598032815"/>
      </c:lineChart>
      <c:catAx>
        <c:axId val="9210236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8032815"/>
        <c:crosses val="autoZero"/>
        <c:auto val="1"/>
        <c:lblAlgn val="ctr"/>
        <c:lblOffset val="100"/>
        <c:noMultiLvlLbl val="0"/>
      </c:catAx>
      <c:valAx>
        <c:axId val="5980328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102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Feuil1!$B$4</c:f>
              <c:strCache>
                <c:ptCount val="1"/>
                <c:pt idx="0">
                  <c:v>Heures normal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Feuil1!$A$33:$A$44</c:f>
              <c:strCache>
                <c:ptCount val="12"/>
                <c:pt idx="0">
                  <c:v>Jan.</c:v>
                </c:pt>
                <c:pt idx="1">
                  <c:v>Fév.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Jui.</c:v>
                </c:pt>
                <c:pt idx="7">
                  <c:v>Août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Feuil1!$C$4:$N$4</c:f>
              <c:numCache>
                <c:formatCode>General</c:formatCode>
                <c:ptCount val="12"/>
                <c:pt idx="0">
                  <c:v>280800</c:v>
                </c:pt>
                <c:pt idx="1">
                  <c:v>286100</c:v>
                </c:pt>
                <c:pt idx="2">
                  <c:v>275900</c:v>
                </c:pt>
                <c:pt idx="3">
                  <c:v>290122</c:v>
                </c:pt>
                <c:pt idx="4">
                  <c:v>285789</c:v>
                </c:pt>
                <c:pt idx="5">
                  <c:v>280780</c:v>
                </c:pt>
                <c:pt idx="6">
                  <c:v>300500</c:v>
                </c:pt>
                <c:pt idx="7">
                  <c:v>301009</c:v>
                </c:pt>
                <c:pt idx="8">
                  <c:v>269000</c:v>
                </c:pt>
                <c:pt idx="9">
                  <c:v>265890</c:v>
                </c:pt>
                <c:pt idx="10">
                  <c:v>267980</c:v>
                </c:pt>
                <c:pt idx="11">
                  <c:v>278907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A5-4EEA-9CE8-0C3E65FBFC99}"/>
            </c:ext>
          </c:extLst>
        </c:ser>
        <c:ser>
          <c:idx val="1"/>
          <c:order val="1"/>
          <c:tx>
            <c:strRef>
              <c:f>Feuil1!$E$31</c:f>
              <c:strCache>
                <c:ptCount val="1"/>
                <c:pt idx="0">
                  <c:v>Sortie système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Feuil1!$A$33:$A$44</c:f>
              <c:strCache>
                <c:ptCount val="12"/>
                <c:pt idx="0">
                  <c:v>Jan.</c:v>
                </c:pt>
                <c:pt idx="1">
                  <c:v>Fév.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Jui.</c:v>
                </c:pt>
                <c:pt idx="7">
                  <c:v>Août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Feuil1!$E$33:$E$44</c:f>
              <c:numCache>
                <c:formatCode>General</c:formatCode>
                <c:ptCount val="12"/>
                <c:pt idx="0">
                  <c:v>14353</c:v>
                </c:pt>
                <c:pt idx="1">
                  <c:v>16011</c:v>
                </c:pt>
                <c:pt idx="2">
                  <c:v>20767</c:v>
                </c:pt>
                <c:pt idx="3">
                  <c:v>23391</c:v>
                </c:pt>
                <c:pt idx="4">
                  <c:v>25206</c:v>
                </c:pt>
                <c:pt idx="5">
                  <c:v>26611</c:v>
                </c:pt>
                <c:pt idx="6">
                  <c:v>27798</c:v>
                </c:pt>
                <c:pt idx="7">
                  <c:v>26540</c:v>
                </c:pt>
                <c:pt idx="8">
                  <c:v>22523</c:v>
                </c:pt>
                <c:pt idx="9">
                  <c:v>19172</c:v>
                </c:pt>
                <c:pt idx="10">
                  <c:v>15047</c:v>
                </c:pt>
                <c:pt idx="11">
                  <c:v>13912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A5-4EEA-9CE8-0C3E65FBF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333984"/>
        <c:axId val="268225264"/>
      </c:lineChart>
      <c:catAx>
        <c:axId val="274333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8225264"/>
        <c:crosses val="autoZero"/>
        <c:auto val="1"/>
        <c:lblAlgn val="ctr"/>
        <c:lblOffset val="100"/>
        <c:noMultiLvlLbl val="0"/>
      </c:catAx>
      <c:valAx>
        <c:axId val="2682252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433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Feuil1!$B$4</c:f>
              <c:strCache>
                <c:ptCount val="1"/>
                <c:pt idx="0">
                  <c:v>Heures normal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Feuil1!$A$68:$A$79</c:f>
              <c:strCache>
                <c:ptCount val="12"/>
                <c:pt idx="0">
                  <c:v>Jan.</c:v>
                </c:pt>
                <c:pt idx="1">
                  <c:v>Fév.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Jui.</c:v>
                </c:pt>
                <c:pt idx="7">
                  <c:v>Août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Feuil1!$C$4:$N$4</c:f>
              <c:numCache>
                <c:formatCode>General</c:formatCode>
                <c:ptCount val="12"/>
                <c:pt idx="0">
                  <c:v>280800</c:v>
                </c:pt>
                <c:pt idx="1">
                  <c:v>286100</c:v>
                </c:pt>
                <c:pt idx="2">
                  <c:v>275900</c:v>
                </c:pt>
                <c:pt idx="3">
                  <c:v>290122</c:v>
                </c:pt>
                <c:pt idx="4">
                  <c:v>285789</c:v>
                </c:pt>
                <c:pt idx="5">
                  <c:v>280780</c:v>
                </c:pt>
                <c:pt idx="6">
                  <c:v>300500</c:v>
                </c:pt>
                <c:pt idx="7">
                  <c:v>301009</c:v>
                </c:pt>
                <c:pt idx="8">
                  <c:v>269000</c:v>
                </c:pt>
                <c:pt idx="9">
                  <c:v>265890</c:v>
                </c:pt>
                <c:pt idx="10">
                  <c:v>267980</c:v>
                </c:pt>
                <c:pt idx="11">
                  <c:v>278907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E-403F-BDB8-9EF022F7EB5C}"/>
            </c:ext>
          </c:extLst>
        </c:ser>
        <c:ser>
          <c:idx val="1"/>
          <c:order val="1"/>
          <c:tx>
            <c:strRef>
              <c:f>Feuil1!$E$66</c:f>
              <c:strCache>
                <c:ptCount val="1"/>
                <c:pt idx="0">
                  <c:v>Sortie système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Feuil1!$A$68:$A$79</c:f>
              <c:strCache>
                <c:ptCount val="12"/>
                <c:pt idx="0">
                  <c:v>Jan.</c:v>
                </c:pt>
                <c:pt idx="1">
                  <c:v>Fév.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Jui.</c:v>
                </c:pt>
                <c:pt idx="7">
                  <c:v>Août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Feuil1!$E$68:$E$79</c:f>
              <c:numCache>
                <c:formatCode>General</c:formatCode>
                <c:ptCount val="12"/>
                <c:pt idx="0">
                  <c:v>150864</c:v>
                </c:pt>
                <c:pt idx="1">
                  <c:v>168293</c:v>
                </c:pt>
                <c:pt idx="2">
                  <c:v>218289</c:v>
                </c:pt>
                <c:pt idx="3">
                  <c:v>245872</c:v>
                </c:pt>
                <c:pt idx="4">
                  <c:v>264944</c:v>
                </c:pt>
                <c:pt idx="5">
                  <c:v>279708</c:v>
                </c:pt>
                <c:pt idx="6">
                  <c:v>292191</c:v>
                </c:pt>
                <c:pt idx="7">
                  <c:v>278967</c:v>
                </c:pt>
                <c:pt idx="8">
                  <c:v>236738</c:v>
                </c:pt>
                <c:pt idx="9">
                  <c:v>201519</c:v>
                </c:pt>
                <c:pt idx="10">
                  <c:v>158165</c:v>
                </c:pt>
                <c:pt idx="11">
                  <c:v>146235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2E-403F-BDB8-9EF022F7E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630256"/>
        <c:axId val="552638736"/>
      </c:lineChart>
      <c:catAx>
        <c:axId val="55563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2638736"/>
        <c:crosses val="autoZero"/>
        <c:auto val="1"/>
        <c:lblAlgn val="ctr"/>
        <c:lblOffset val="100"/>
        <c:noMultiLvlLbl val="0"/>
      </c:catAx>
      <c:valAx>
        <c:axId val="5526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563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Feuil1!$B$4</c:f>
              <c:strCache>
                <c:ptCount val="1"/>
                <c:pt idx="0">
                  <c:v>Heures normal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Feuil1!$A$51:$A$62</c:f>
              <c:strCache>
                <c:ptCount val="12"/>
                <c:pt idx="0">
                  <c:v>Jan.</c:v>
                </c:pt>
                <c:pt idx="1">
                  <c:v>Fév.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Jui.</c:v>
                </c:pt>
                <c:pt idx="7">
                  <c:v>Août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Feuil1!$C$4:$N$4</c:f>
              <c:numCache>
                <c:formatCode>General</c:formatCode>
                <c:ptCount val="12"/>
                <c:pt idx="0">
                  <c:v>280800</c:v>
                </c:pt>
                <c:pt idx="1">
                  <c:v>286100</c:v>
                </c:pt>
                <c:pt idx="2">
                  <c:v>275900</c:v>
                </c:pt>
                <c:pt idx="3">
                  <c:v>290122</c:v>
                </c:pt>
                <c:pt idx="4">
                  <c:v>285789</c:v>
                </c:pt>
                <c:pt idx="5">
                  <c:v>280780</c:v>
                </c:pt>
                <c:pt idx="6">
                  <c:v>300500</c:v>
                </c:pt>
                <c:pt idx="7">
                  <c:v>301009</c:v>
                </c:pt>
                <c:pt idx="8">
                  <c:v>269000</c:v>
                </c:pt>
                <c:pt idx="9">
                  <c:v>265890</c:v>
                </c:pt>
                <c:pt idx="10">
                  <c:v>267980</c:v>
                </c:pt>
                <c:pt idx="11">
                  <c:v>278907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80-4051-86FC-B13579272248}"/>
            </c:ext>
          </c:extLst>
        </c:ser>
        <c:ser>
          <c:idx val="1"/>
          <c:order val="1"/>
          <c:tx>
            <c:strRef>
              <c:f>Feuil1!$E$49</c:f>
              <c:strCache>
                <c:ptCount val="1"/>
                <c:pt idx="0">
                  <c:v>Sortie système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Feuil1!$A$51:$A$62</c:f>
              <c:strCache>
                <c:ptCount val="12"/>
                <c:pt idx="0">
                  <c:v>Jan.</c:v>
                </c:pt>
                <c:pt idx="1">
                  <c:v>Fév.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Jui.</c:v>
                </c:pt>
                <c:pt idx="7">
                  <c:v>Août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Feuil1!$E$51:$E$62</c:f>
              <c:numCache>
                <c:formatCode>General</c:formatCode>
                <c:ptCount val="12"/>
                <c:pt idx="0">
                  <c:v>156981</c:v>
                </c:pt>
                <c:pt idx="1">
                  <c:v>175117</c:v>
                </c:pt>
                <c:pt idx="2">
                  <c:v>227140</c:v>
                </c:pt>
                <c:pt idx="3">
                  <c:v>255841</c:v>
                </c:pt>
                <c:pt idx="4">
                  <c:v>275687</c:v>
                </c:pt>
                <c:pt idx="5">
                  <c:v>291049</c:v>
                </c:pt>
                <c:pt idx="6">
                  <c:v>304038</c:v>
                </c:pt>
                <c:pt idx="7">
                  <c:v>290279</c:v>
                </c:pt>
                <c:pt idx="8">
                  <c:v>246338</c:v>
                </c:pt>
                <c:pt idx="9">
                  <c:v>209690</c:v>
                </c:pt>
                <c:pt idx="10">
                  <c:v>164579</c:v>
                </c:pt>
                <c:pt idx="11">
                  <c:v>152165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80-4051-86FC-B13579272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333984"/>
        <c:axId val="268225264"/>
      </c:lineChart>
      <c:catAx>
        <c:axId val="274333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8225264"/>
        <c:crosses val="autoZero"/>
        <c:auto val="1"/>
        <c:lblAlgn val="ctr"/>
        <c:lblOffset val="100"/>
        <c:noMultiLvlLbl val="0"/>
      </c:catAx>
      <c:valAx>
        <c:axId val="2682252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433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12</xdr:row>
      <xdr:rowOff>19050</xdr:rowOff>
    </xdr:from>
    <xdr:to>
      <xdr:col>11</xdr:col>
      <xdr:colOff>129540</xdr:colOff>
      <xdr:row>27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7FFD80A-956C-45F6-A34E-06A17A69D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320040</xdr:colOff>
      <xdr:row>30</xdr:row>
      <xdr:rowOff>15240</xdr:rowOff>
    </xdr:from>
    <xdr:to>
      <xdr:col>11</xdr:col>
      <xdr:colOff>137160</xdr:colOff>
      <xdr:row>45</xdr:row>
      <xdr:rowOff>15240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2F0B363-8500-413F-A774-332CB7D9F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114300</xdr:colOff>
      <xdr:row>64</xdr:row>
      <xdr:rowOff>175260</xdr:rowOff>
    </xdr:from>
    <xdr:to>
      <xdr:col>10</xdr:col>
      <xdr:colOff>723900</xdr:colOff>
      <xdr:row>79</xdr:row>
      <xdr:rowOff>175260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17B217F-F4F4-4C3A-B7BB-D35A8C414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434340</xdr:colOff>
      <xdr:row>47</xdr:row>
      <xdr:rowOff>175260</xdr:rowOff>
    </xdr:from>
    <xdr:to>
      <xdr:col>11</xdr:col>
      <xdr:colOff>251460</xdr:colOff>
      <xdr:row>62</xdr:row>
      <xdr:rowOff>175260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A423DFD0-9011-4586-9BAE-5B1A915F2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76200</xdr:colOff>
      <xdr:row>83</xdr:row>
      <xdr:rowOff>30480</xdr:rowOff>
    </xdr:from>
    <xdr:to>
      <xdr:col>13</xdr:col>
      <xdr:colOff>267558</xdr:colOff>
      <xdr:row>97</xdr:row>
      <xdr:rowOff>45720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48833281-B512-45F8-A663-F96753CA2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34940" y="15209520"/>
          <a:ext cx="6531198" cy="2575560"/>
        </a:xfrm>
        <a:prstGeom prst="rect">
          <a:avLst/>
        </a:prstGeom>
      </xdr:spPr>
    </xdr:pic>
    <xdr:clientData/>
  </xdr:twoCellAnchor>
  <xdr:twoCellAnchor editAs="oneCell">
    <xdr:from>
      <xdr:col>13</xdr:col>
      <xdr:colOff>312420</xdr:colOff>
      <xdr:row>83</xdr:row>
      <xdr:rowOff>0</xdr:rowOff>
    </xdr:from>
    <xdr:to>
      <xdr:col>21</xdr:col>
      <xdr:colOff>480060</xdr:colOff>
      <xdr:row>97</xdr:row>
      <xdr:rowOff>5887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20257FE9-53AC-4369-A67A-689497ABB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11000" y="15179040"/>
          <a:ext cx="6507480" cy="2566207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</xdr:colOff>
      <xdr:row>101</xdr:row>
      <xdr:rowOff>45720</xdr:rowOff>
    </xdr:from>
    <xdr:to>
      <xdr:col>13</xdr:col>
      <xdr:colOff>379960</xdr:colOff>
      <xdr:row>115</xdr:row>
      <xdr:rowOff>114300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B52DA881-2337-4148-A120-1FF91D14D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12080" y="18516600"/>
          <a:ext cx="6666460" cy="2628900"/>
        </a:xfrm>
        <a:prstGeom prst="rect">
          <a:avLst/>
        </a:prstGeom>
      </xdr:spPr>
    </xdr:pic>
    <xdr:clientData/>
  </xdr:twoCellAnchor>
  <xdr:twoCellAnchor editAs="oneCell">
    <xdr:from>
      <xdr:col>13</xdr:col>
      <xdr:colOff>487680</xdr:colOff>
      <xdr:row>101</xdr:row>
      <xdr:rowOff>76200</xdr:rowOff>
    </xdr:from>
    <xdr:to>
      <xdr:col>21</xdr:col>
      <xdr:colOff>731520</xdr:colOff>
      <xdr:row>115</xdr:row>
      <xdr:rowOff>112136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14AA384B-1F72-4CC0-86CE-5A2CC359B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86260" y="18547080"/>
          <a:ext cx="6583680" cy="2596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30BA-3629-402E-870E-B05FDA863BFE}">
  <dimension ref="A2:R116"/>
  <sheetViews>
    <sheetView tabSelected="1" topLeftCell="C1" zoomScaleNormal="100" workbookViewId="0">
      <selection activeCell="H9" sqref="H9"/>
    </sheetView>
  </sheetViews>
  <sheetFormatPr baseColWidth="10" defaultRowHeight="14.4" x14ac:dyDescent="0.3"/>
  <cols>
    <col min="2" max="2" width="21.88671875" customWidth="1"/>
    <col min="3" max="3" width="13.44140625" customWidth="1"/>
    <col min="4" max="4" width="15.21875" customWidth="1"/>
    <col min="5" max="5" width="13.109375" customWidth="1"/>
  </cols>
  <sheetData>
    <row r="2" spans="1:18" x14ac:dyDescent="0.3">
      <c r="C2" s="9" t="s">
        <v>16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P2" s="5" t="s">
        <v>38</v>
      </c>
      <c r="Q2" s="5" t="s">
        <v>39</v>
      </c>
      <c r="R2" s="6" t="s">
        <v>42</v>
      </c>
    </row>
    <row r="3" spans="1:18" x14ac:dyDescent="0.3">
      <c r="B3" s="4" t="s">
        <v>0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P3" s="3">
        <v>16</v>
      </c>
      <c r="Q3" s="2">
        <v>175.92</v>
      </c>
      <c r="R3" s="2">
        <v>227.34</v>
      </c>
    </row>
    <row r="4" spans="1:18" x14ac:dyDescent="0.3">
      <c r="B4" s="2" t="s">
        <v>1</v>
      </c>
      <c r="C4" s="2">
        <v>280800</v>
      </c>
      <c r="D4" s="2">
        <v>286100</v>
      </c>
      <c r="E4" s="2">
        <v>275900</v>
      </c>
      <c r="F4" s="2">
        <v>290122</v>
      </c>
      <c r="G4" s="2">
        <v>285789</v>
      </c>
      <c r="H4" s="2">
        <v>280780</v>
      </c>
      <c r="I4" s="2">
        <v>300500</v>
      </c>
      <c r="J4" s="2">
        <v>301009</v>
      </c>
      <c r="K4" s="2">
        <v>269000</v>
      </c>
      <c r="L4" s="2">
        <v>265890</v>
      </c>
      <c r="M4" s="2">
        <v>267980</v>
      </c>
      <c r="N4" s="2">
        <v>278907</v>
      </c>
    </row>
    <row r="5" spans="1:18" x14ac:dyDescent="0.3">
      <c r="B5" s="2" t="s">
        <v>2</v>
      </c>
      <c r="C5" s="2">
        <v>110067</v>
      </c>
      <c r="D5" s="2">
        <v>130078</v>
      </c>
      <c r="E5" s="2">
        <v>120000</v>
      </c>
      <c r="F5" s="2">
        <v>111789</v>
      </c>
      <c r="G5" s="2">
        <v>102456</v>
      </c>
      <c r="H5" s="2">
        <v>108945</v>
      </c>
      <c r="I5" s="2">
        <v>109866</v>
      </c>
      <c r="J5" s="2">
        <v>106787</v>
      </c>
      <c r="K5" s="2">
        <v>100784</v>
      </c>
      <c r="L5" s="2">
        <v>108905</v>
      </c>
      <c r="M5" s="2">
        <v>104689</v>
      </c>
      <c r="N5" s="2">
        <v>105897</v>
      </c>
    </row>
    <row r="6" spans="1:18" x14ac:dyDescent="0.3">
      <c r="B6" s="2" t="s">
        <v>3</v>
      </c>
      <c r="C6" s="2">
        <v>110908</v>
      </c>
      <c r="D6" s="2">
        <v>114789</v>
      </c>
      <c r="E6" s="2">
        <v>114589</v>
      </c>
      <c r="F6" s="2">
        <v>113980</v>
      </c>
      <c r="G6" s="2">
        <v>115908</v>
      </c>
      <c r="H6" s="2">
        <v>116890</v>
      </c>
      <c r="I6" s="2">
        <v>112909</v>
      </c>
      <c r="J6" s="2">
        <v>107890</v>
      </c>
      <c r="K6" s="2">
        <v>109457</v>
      </c>
      <c r="L6" s="2">
        <v>110978</v>
      </c>
      <c r="M6" s="2">
        <v>107678</v>
      </c>
      <c r="N6" s="2">
        <v>107908</v>
      </c>
    </row>
    <row r="8" spans="1:18" x14ac:dyDescent="0.3">
      <c r="B8" s="7" t="s">
        <v>41</v>
      </c>
      <c r="C8" s="1">
        <v>301009</v>
      </c>
      <c r="D8" s="2">
        <f>(C8*1)/(R3*0.85)</f>
        <v>1557.7031551601901</v>
      </c>
    </row>
    <row r="9" spans="1:18" x14ac:dyDescent="0.3">
      <c r="B9" s="7" t="s">
        <v>36</v>
      </c>
      <c r="C9" s="2">
        <f>AVERAGE(C4:N4)/12</f>
        <v>23491.506944444442</v>
      </c>
      <c r="D9" s="2">
        <f>(C9*1)/(P3*0.85)</f>
        <v>1727.3166870915031</v>
      </c>
    </row>
    <row r="10" spans="1:18" x14ac:dyDescent="0.3">
      <c r="B10" s="7" t="s">
        <v>37</v>
      </c>
      <c r="C10" s="2">
        <v>265890</v>
      </c>
      <c r="D10" s="2">
        <f>(C10*1)/(Q3*0.85)</f>
        <v>1778.1478212021509</v>
      </c>
    </row>
    <row r="12" spans="1:18" x14ac:dyDescent="0.3">
      <c r="C12" s="8" t="s">
        <v>44</v>
      </c>
      <c r="D12" s="8"/>
    </row>
    <row r="13" spans="1:18" x14ac:dyDescent="0.3">
      <c r="A13" s="2"/>
      <c r="B13" s="4" t="s">
        <v>17</v>
      </c>
      <c r="C13" s="4" t="s">
        <v>18</v>
      </c>
      <c r="D13" s="4" t="s">
        <v>19</v>
      </c>
      <c r="E13" s="4" t="s">
        <v>19</v>
      </c>
    </row>
    <row r="14" spans="1:18" x14ac:dyDescent="0.3">
      <c r="A14" s="2"/>
      <c r="B14" s="4" t="s">
        <v>20</v>
      </c>
      <c r="C14" s="4" t="s">
        <v>20</v>
      </c>
      <c r="D14" s="4" t="s">
        <v>21</v>
      </c>
      <c r="E14" s="4" t="s">
        <v>22</v>
      </c>
    </row>
    <row r="15" spans="1:18" x14ac:dyDescent="0.3">
      <c r="A15" s="2" t="s">
        <v>23</v>
      </c>
      <c r="B15" s="2">
        <v>3.01</v>
      </c>
      <c r="C15" s="2">
        <v>4.37</v>
      </c>
      <c r="D15" s="2">
        <v>6523</v>
      </c>
      <c r="E15" s="2">
        <v>202212</v>
      </c>
    </row>
    <row r="16" spans="1:18" x14ac:dyDescent="0.3">
      <c r="A16" s="2" t="s">
        <v>24</v>
      </c>
      <c r="B16" s="2">
        <v>3.99</v>
      </c>
      <c r="C16" s="2">
        <v>5.21</v>
      </c>
      <c r="D16" s="2">
        <v>7782</v>
      </c>
      <c r="E16" s="2">
        <v>217884</v>
      </c>
    </row>
    <row r="17" spans="1:5" x14ac:dyDescent="0.3">
      <c r="A17" s="2" t="s">
        <v>25</v>
      </c>
      <c r="B17" s="2">
        <v>4.99</v>
      </c>
      <c r="C17" s="2">
        <v>5.89</v>
      </c>
      <c r="D17" s="2">
        <v>8799</v>
      </c>
      <c r="E17" s="2">
        <v>272772</v>
      </c>
    </row>
    <row r="18" spans="1:5" x14ac:dyDescent="0.3">
      <c r="A18" s="2" t="s">
        <v>26</v>
      </c>
      <c r="B18" s="2">
        <v>6.17</v>
      </c>
      <c r="C18" s="2">
        <v>6.61</v>
      </c>
      <c r="D18" s="2">
        <v>9882</v>
      </c>
      <c r="E18" s="2">
        <v>296453</v>
      </c>
    </row>
    <row r="19" spans="1:5" x14ac:dyDescent="0.3">
      <c r="A19" s="2" t="s">
        <v>27</v>
      </c>
      <c r="B19" s="2">
        <v>6.73</v>
      </c>
      <c r="C19" s="2">
        <v>6.7</v>
      </c>
      <c r="D19" s="2">
        <v>10019</v>
      </c>
      <c r="E19" s="2">
        <v>310593</v>
      </c>
    </row>
    <row r="20" spans="1:5" x14ac:dyDescent="0.3">
      <c r="A20" s="2" t="s">
        <v>28</v>
      </c>
      <c r="B20" s="2">
        <v>7.49</v>
      </c>
      <c r="C20" s="2">
        <v>7.22</v>
      </c>
      <c r="D20" s="2">
        <v>10783</v>
      </c>
      <c r="E20" s="2">
        <v>323500</v>
      </c>
    </row>
    <row r="21" spans="1:5" x14ac:dyDescent="0.3">
      <c r="A21" s="2" t="s">
        <v>29</v>
      </c>
      <c r="B21" s="2">
        <v>7.51</v>
      </c>
      <c r="C21" s="2">
        <v>7.32</v>
      </c>
      <c r="D21" s="2">
        <v>10946</v>
      </c>
      <c r="E21" s="2">
        <v>339312</v>
      </c>
    </row>
    <row r="22" spans="1:5" x14ac:dyDescent="0.3">
      <c r="A22" s="2" t="s">
        <v>30</v>
      </c>
      <c r="B22" s="2">
        <v>6.91</v>
      </c>
      <c r="C22" s="2">
        <v>7.17</v>
      </c>
      <c r="D22" s="2">
        <v>10709</v>
      </c>
      <c r="E22" s="2">
        <v>331979</v>
      </c>
    </row>
    <row r="23" spans="1:5" x14ac:dyDescent="0.3">
      <c r="A23" s="2" t="s">
        <v>31</v>
      </c>
      <c r="B23" s="2">
        <v>5.73</v>
      </c>
      <c r="C23" s="2">
        <v>6.5</v>
      </c>
      <c r="D23" s="2">
        <v>9720</v>
      </c>
      <c r="E23" s="2">
        <v>291600</v>
      </c>
    </row>
    <row r="24" spans="1:5" x14ac:dyDescent="0.3">
      <c r="A24" s="2" t="s">
        <v>32</v>
      </c>
      <c r="B24" s="2">
        <v>4.42</v>
      </c>
      <c r="C24" s="2">
        <v>5.56</v>
      </c>
      <c r="D24" s="2">
        <v>8310</v>
      </c>
      <c r="E24" s="2">
        <v>257613</v>
      </c>
    </row>
    <row r="25" spans="1:5" x14ac:dyDescent="0.3">
      <c r="A25" s="2" t="s">
        <v>33</v>
      </c>
      <c r="B25" s="2">
        <v>3.34</v>
      </c>
      <c r="C25" s="2">
        <v>4.67</v>
      </c>
      <c r="D25" s="2">
        <v>6984</v>
      </c>
      <c r="E25" s="2">
        <v>209507</v>
      </c>
    </row>
    <row r="26" spans="1:5" x14ac:dyDescent="0.3">
      <c r="A26" s="2" t="s">
        <v>34</v>
      </c>
      <c r="B26" s="2">
        <v>2.84</v>
      </c>
      <c r="C26" s="2">
        <v>4.28</v>
      </c>
      <c r="D26" s="2">
        <v>6400</v>
      </c>
      <c r="E26" s="2">
        <v>198408</v>
      </c>
    </row>
    <row r="27" spans="1:5" x14ac:dyDescent="0.3">
      <c r="A27" s="2" t="s">
        <v>35</v>
      </c>
      <c r="B27" s="2">
        <v>5.27</v>
      </c>
      <c r="C27" s="2">
        <v>5.96</v>
      </c>
      <c r="D27" s="2">
        <v>8909</v>
      </c>
      <c r="E27" s="2">
        <v>3251833</v>
      </c>
    </row>
    <row r="30" spans="1:5" x14ac:dyDescent="0.3">
      <c r="C30" s="8" t="s">
        <v>45</v>
      </c>
      <c r="D30" s="8"/>
    </row>
    <row r="31" spans="1:5" x14ac:dyDescent="0.3">
      <c r="A31" s="2"/>
      <c r="B31" s="4" t="s">
        <v>17</v>
      </c>
      <c r="C31" s="4" t="s">
        <v>18</v>
      </c>
      <c r="D31" s="4" t="s">
        <v>19</v>
      </c>
      <c r="E31" s="4" t="s">
        <v>19</v>
      </c>
    </row>
    <row r="32" spans="1:5" x14ac:dyDescent="0.3">
      <c r="A32" s="2"/>
      <c r="B32" s="4" t="s">
        <v>20</v>
      </c>
      <c r="C32" s="4" t="s">
        <v>20</v>
      </c>
      <c r="D32" s="4" t="s">
        <v>21</v>
      </c>
      <c r="E32" s="4" t="s">
        <v>22</v>
      </c>
    </row>
    <row r="33" spans="1:5" x14ac:dyDescent="0.3">
      <c r="A33" s="2" t="s">
        <v>23</v>
      </c>
      <c r="B33" s="2">
        <v>3.01</v>
      </c>
      <c r="C33" s="2">
        <v>3.87</v>
      </c>
      <c r="D33" s="2">
        <v>463</v>
      </c>
      <c r="E33" s="2">
        <v>14353</v>
      </c>
    </row>
    <row r="34" spans="1:5" x14ac:dyDescent="0.3">
      <c r="A34" s="2" t="s">
        <v>24</v>
      </c>
      <c r="B34" s="2">
        <v>3.99</v>
      </c>
      <c r="C34" s="2">
        <v>4.78</v>
      </c>
      <c r="D34" s="2">
        <v>571.79999999999995</v>
      </c>
      <c r="E34" s="2">
        <v>16011</v>
      </c>
    </row>
    <row r="35" spans="1:5" x14ac:dyDescent="0.3">
      <c r="A35" s="2" t="s">
        <v>25</v>
      </c>
      <c r="B35" s="2">
        <v>4.99</v>
      </c>
      <c r="C35" s="2">
        <v>5.6</v>
      </c>
      <c r="D35" s="2">
        <v>669.9</v>
      </c>
      <c r="E35" s="2">
        <v>20767</v>
      </c>
    </row>
    <row r="36" spans="1:5" x14ac:dyDescent="0.3">
      <c r="A36" s="2" t="s">
        <v>26</v>
      </c>
      <c r="B36" s="2">
        <v>6.17</v>
      </c>
      <c r="C36" s="2">
        <v>6.51</v>
      </c>
      <c r="D36" s="2">
        <v>779.7</v>
      </c>
      <c r="E36" s="2">
        <v>23391</v>
      </c>
    </row>
    <row r="37" spans="1:5" x14ac:dyDescent="0.3">
      <c r="A37" s="2" t="s">
        <v>27</v>
      </c>
      <c r="B37" s="2">
        <v>6.73</v>
      </c>
      <c r="C37" s="2">
        <v>6.79</v>
      </c>
      <c r="D37" s="2">
        <v>813.1</v>
      </c>
      <c r="E37" s="2">
        <v>25206</v>
      </c>
    </row>
    <row r="38" spans="1:5" x14ac:dyDescent="0.3">
      <c r="A38" s="2" t="s">
        <v>28</v>
      </c>
      <c r="B38" s="2">
        <v>7.49</v>
      </c>
      <c r="C38" s="2">
        <v>7.41</v>
      </c>
      <c r="D38" s="2">
        <v>887</v>
      </c>
      <c r="E38" s="2">
        <v>26611</v>
      </c>
    </row>
    <row r="39" spans="1:5" x14ac:dyDescent="0.3">
      <c r="A39" s="2" t="s">
        <v>29</v>
      </c>
      <c r="B39" s="2">
        <v>7.51</v>
      </c>
      <c r="C39" s="2">
        <v>7.49</v>
      </c>
      <c r="D39" s="2">
        <v>896.7</v>
      </c>
      <c r="E39" s="2">
        <v>27798</v>
      </c>
    </row>
    <row r="40" spans="1:5" x14ac:dyDescent="0.3">
      <c r="A40" s="2" t="s">
        <v>30</v>
      </c>
      <c r="B40" s="2">
        <v>6.91</v>
      </c>
      <c r="C40" s="2">
        <v>7.15</v>
      </c>
      <c r="D40" s="2">
        <v>856.1</v>
      </c>
      <c r="E40" s="2">
        <v>26540</v>
      </c>
    </row>
    <row r="41" spans="1:5" x14ac:dyDescent="0.3">
      <c r="A41" s="2" t="s">
        <v>31</v>
      </c>
      <c r="B41" s="2">
        <v>5.73</v>
      </c>
      <c r="C41" s="2">
        <v>6.27</v>
      </c>
      <c r="D41" s="2">
        <v>750.8</v>
      </c>
      <c r="E41" s="2">
        <v>22523</v>
      </c>
    </row>
    <row r="42" spans="1:5" x14ac:dyDescent="0.3">
      <c r="A42" s="2" t="s">
        <v>32</v>
      </c>
      <c r="B42" s="2">
        <v>4.42</v>
      </c>
      <c r="C42" s="2">
        <v>5.17</v>
      </c>
      <c r="D42" s="2">
        <v>618.4</v>
      </c>
      <c r="E42" s="2">
        <v>19172</v>
      </c>
    </row>
    <row r="43" spans="1:5" x14ac:dyDescent="0.3">
      <c r="A43" s="2" t="s">
        <v>33</v>
      </c>
      <c r="B43" s="2">
        <v>3.34</v>
      </c>
      <c r="C43" s="2">
        <v>4.1900000000000004</v>
      </c>
      <c r="D43" s="2">
        <v>501.6</v>
      </c>
      <c r="E43" s="2">
        <v>15047</v>
      </c>
    </row>
    <row r="44" spans="1:5" x14ac:dyDescent="0.3">
      <c r="A44" s="2" t="s">
        <v>34</v>
      </c>
      <c r="B44" s="2">
        <v>2.84</v>
      </c>
      <c r="C44" s="2">
        <v>3.75</v>
      </c>
      <c r="D44" s="2">
        <v>448.8</v>
      </c>
      <c r="E44" s="2">
        <v>13912</v>
      </c>
    </row>
    <row r="45" spans="1:5" x14ac:dyDescent="0.3">
      <c r="A45" s="2" t="s">
        <v>35</v>
      </c>
      <c r="B45" s="2">
        <v>5.27</v>
      </c>
      <c r="C45" s="2">
        <v>5.75</v>
      </c>
      <c r="D45" s="2">
        <v>688.6</v>
      </c>
      <c r="E45" s="2">
        <v>251331</v>
      </c>
    </row>
    <row r="48" spans="1:5" x14ac:dyDescent="0.3">
      <c r="C48" s="8" t="s">
        <v>43</v>
      </c>
      <c r="D48" s="8"/>
    </row>
    <row r="49" spans="1:5" x14ac:dyDescent="0.3">
      <c r="A49" s="2"/>
      <c r="B49" s="4" t="s">
        <v>17</v>
      </c>
      <c r="C49" s="4" t="s">
        <v>18</v>
      </c>
      <c r="D49" s="4" t="s">
        <v>19</v>
      </c>
      <c r="E49" s="4" t="s">
        <v>19</v>
      </c>
    </row>
    <row r="50" spans="1:5" x14ac:dyDescent="0.3">
      <c r="A50" s="2"/>
      <c r="B50" s="4" t="s">
        <v>20</v>
      </c>
      <c r="C50" s="4" t="s">
        <v>20</v>
      </c>
      <c r="D50" s="4" t="s">
        <v>21</v>
      </c>
      <c r="E50" s="4" t="s">
        <v>22</v>
      </c>
    </row>
    <row r="51" spans="1:5" x14ac:dyDescent="0.3">
      <c r="A51" s="2" t="s">
        <v>23</v>
      </c>
      <c r="B51" s="2">
        <v>3.01</v>
      </c>
      <c r="C51" s="2">
        <v>3.87</v>
      </c>
      <c r="D51" s="2">
        <v>5064</v>
      </c>
      <c r="E51" s="2">
        <v>156981</v>
      </c>
    </row>
    <row r="52" spans="1:5" x14ac:dyDescent="0.3">
      <c r="A52" s="2" t="s">
        <v>24</v>
      </c>
      <c r="B52" s="2">
        <v>3.99</v>
      </c>
      <c r="C52" s="2">
        <v>4.78</v>
      </c>
      <c r="D52" s="2">
        <v>6254</v>
      </c>
      <c r="E52" s="2">
        <v>175117</v>
      </c>
    </row>
    <row r="53" spans="1:5" x14ac:dyDescent="0.3">
      <c r="A53" s="2" t="s">
        <v>25</v>
      </c>
      <c r="B53" s="2">
        <v>4.99</v>
      </c>
      <c r="C53" s="2">
        <v>5.6</v>
      </c>
      <c r="D53" s="2">
        <v>7327</v>
      </c>
      <c r="E53" s="2">
        <v>227140</v>
      </c>
    </row>
    <row r="54" spans="1:5" x14ac:dyDescent="0.3">
      <c r="A54" s="2" t="s">
        <v>26</v>
      </c>
      <c r="B54" s="2">
        <v>6.17</v>
      </c>
      <c r="C54" s="2">
        <v>6.51</v>
      </c>
      <c r="D54" s="2">
        <v>8528</v>
      </c>
      <c r="E54" s="2">
        <v>255841</v>
      </c>
    </row>
    <row r="55" spans="1:5" x14ac:dyDescent="0.3">
      <c r="A55" s="2" t="s">
        <v>27</v>
      </c>
      <c r="B55" s="2">
        <v>6.73</v>
      </c>
      <c r="C55" s="2">
        <v>6.79</v>
      </c>
      <c r="D55" s="2">
        <v>8893</v>
      </c>
      <c r="E55" s="2">
        <v>275687</v>
      </c>
    </row>
    <row r="56" spans="1:5" x14ac:dyDescent="0.3">
      <c r="A56" s="2" t="s">
        <v>28</v>
      </c>
      <c r="B56" s="2">
        <v>7.49</v>
      </c>
      <c r="C56" s="2">
        <v>7.41</v>
      </c>
      <c r="D56" s="2">
        <v>9702</v>
      </c>
      <c r="E56" s="2">
        <v>291049</v>
      </c>
    </row>
    <row r="57" spans="1:5" x14ac:dyDescent="0.3">
      <c r="A57" s="2" t="s">
        <v>29</v>
      </c>
      <c r="B57" s="2">
        <v>7.51</v>
      </c>
      <c r="C57" s="2">
        <v>7.49</v>
      </c>
      <c r="D57" s="2">
        <v>9808</v>
      </c>
      <c r="E57" s="2">
        <v>304038</v>
      </c>
    </row>
    <row r="58" spans="1:5" x14ac:dyDescent="0.3">
      <c r="A58" s="2" t="s">
        <v>30</v>
      </c>
      <c r="B58" s="2">
        <v>6.91</v>
      </c>
      <c r="C58" s="2">
        <v>7.15</v>
      </c>
      <c r="D58" s="2">
        <v>9364</v>
      </c>
      <c r="E58" s="2">
        <v>290279</v>
      </c>
    </row>
    <row r="59" spans="1:5" x14ac:dyDescent="0.3">
      <c r="A59" s="2" t="s">
        <v>31</v>
      </c>
      <c r="B59" s="2">
        <v>5.73</v>
      </c>
      <c r="C59" s="2">
        <v>6.27</v>
      </c>
      <c r="D59" s="2">
        <v>8211</v>
      </c>
      <c r="E59" s="2">
        <v>246338</v>
      </c>
    </row>
    <row r="60" spans="1:5" x14ac:dyDescent="0.3">
      <c r="A60" s="2" t="s">
        <v>32</v>
      </c>
      <c r="B60" s="2">
        <v>4.42</v>
      </c>
      <c r="C60" s="2">
        <v>5.17</v>
      </c>
      <c r="D60" s="2">
        <v>6764</v>
      </c>
      <c r="E60" s="2">
        <v>209690</v>
      </c>
    </row>
    <row r="61" spans="1:5" x14ac:dyDescent="0.3">
      <c r="A61" s="2" t="s">
        <v>33</v>
      </c>
      <c r="B61" s="2">
        <v>3.34</v>
      </c>
      <c r="C61" s="2">
        <v>4.1900000000000004</v>
      </c>
      <c r="D61" s="2">
        <v>5486</v>
      </c>
      <c r="E61" s="2">
        <v>164579</v>
      </c>
    </row>
    <row r="62" spans="1:5" x14ac:dyDescent="0.3">
      <c r="A62" s="2" t="s">
        <v>34</v>
      </c>
      <c r="B62" s="2">
        <v>2.84</v>
      </c>
      <c r="C62" s="2">
        <v>3.75</v>
      </c>
      <c r="D62" s="2">
        <v>4909</v>
      </c>
      <c r="E62" s="2">
        <v>152165</v>
      </c>
    </row>
    <row r="63" spans="1:5" x14ac:dyDescent="0.3">
      <c r="A63" s="2" t="s">
        <v>35</v>
      </c>
      <c r="B63" s="2">
        <v>5.27</v>
      </c>
      <c r="C63" s="2">
        <v>5.75</v>
      </c>
      <c r="D63" s="2">
        <v>7531</v>
      </c>
      <c r="E63" s="2">
        <v>2748904</v>
      </c>
    </row>
    <row r="65" spans="1:5" x14ac:dyDescent="0.3">
      <c r="C65" s="8" t="s">
        <v>40</v>
      </c>
      <c r="D65" s="8"/>
    </row>
    <row r="66" spans="1:5" x14ac:dyDescent="0.3">
      <c r="A66" s="2"/>
      <c r="B66" s="4" t="s">
        <v>17</v>
      </c>
      <c r="C66" s="4" t="s">
        <v>18</v>
      </c>
      <c r="D66" s="4" t="s">
        <v>19</v>
      </c>
      <c r="E66" s="4" t="s">
        <v>19</v>
      </c>
    </row>
    <row r="67" spans="1:5" x14ac:dyDescent="0.3">
      <c r="A67" s="2"/>
      <c r="B67" s="4" t="s">
        <v>20</v>
      </c>
      <c r="C67" s="4" t="s">
        <v>20</v>
      </c>
      <c r="D67" s="4" t="s">
        <v>21</v>
      </c>
      <c r="E67" s="4" t="s">
        <v>22</v>
      </c>
    </row>
    <row r="68" spans="1:5" x14ac:dyDescent="0.3">
      <c r="A68" s="2" t="s">
        <v>23</v>
      </c>
      <c r="B68" s="2">
        <v>3.01</v>
      </c>
      <c r="C68" s="2">
        <v>3.87</v>
      </c>
      <c r="D68" s="2">
        <v>4867</v>
      </c>
      <c r="E68" s="2">
        <v>150864</v>
      </c>
    </row>
    <row r="69" spans="1:5" x14ac:dyDescent="0.3">
      <c r="A69" s="2" t="s">
        <v>24</v>
      </c>
      <c r="B69" s="2">
        <v>3.99</v>
      </c>
      <c r="C69" s="2">
        <v>4.78</v>
      </c>
      <c r="D69" s="2">
        <v>6010</v>
      </c>
      <c r="E69" s="2">
        <v>168293</v>
      </c>
    </row>
    <row r="70" spans="1:5" x14ac:dyDescent="0.3">
      <c r="A70" s="2" t="s">
        <v>25</v>
      </c>
      <c r="B70" s="2">
        <v>4.99</v>
      </c>
      <c r="C70" s="2">
        <v>5.6</v>
      </c>
      <c r="D70" s="2">
        <v>7042</v>
      </c>
      <c r="E70" s="2">
        <v>218289</v>
      </c>
    </row>
    <row r="71" spans="1:5" x14ac:dyDescent="0.3">
      <c r="A71" s="2" t="s">
        <v>26</v>
      </c>
      <c r="B71" s="2">
        <v>6.17</v>
      </c>
      <c r="C71" s="2">
        <v>6.51</v>
      </c>
      <c r="D71" s="2">
        <v>8196</v>
      </c>
      <c r="E71" s="2">
        <v>245872</v>
      </c>
    </row>
    <row r="72" spans="1:5" x14ac:dyDescent="0.3">
      <c r="A72" s="2" t="s">
        <v>27</v>
      </c>
      <c r="B72" s="2">
        <v>6.73</v>
      </c>
      <c r="C72" s="2">
        <v>6.79</v>
      </c>
      <c r="D72" s="2">
        <v>8547</v>
      </c>
      <c r="E72" s="2">
        <v>264944</v>
      </c>
    </row>
    <row r="73" spans="1:5" x14ac:dyDescent="0.3">
      <c r="A73" s="2" t="s">
        <v>28</v>
      </c>
      <c r="B73" s="2">
        <v>7.49</v>
      </c>
      <c r="C73" s="2">
        <v>7.41</v>
      </c>
      <c r="D73" s="2">
        <v>9324</v>
      </c>
      <c r="E73" s="2">
        <v>279708</v>
      </c>
    </row>
    <row r="74" spans="1:5" x14ac:dyDescent="0.3">
      <c r="A74" s="2" t="s">
        <v>29</v>
      </c>
      <c r="B74" s="2">
        <v>7.51</v>
      </c>
      <c r="C74" s="2">
        <v>7.49</v>
      </c>
      <c r="D74" s="2">
        <v>9426</v>
      </c>
      <c r="E74" s="2">
        <v>292191</v>
      </c>
    </row>
    <row r="75" spans="1:5" x14ac:dyDescent="0.3">
      <c r="A75" s="2" t="s">
        <v>30</v>
      </c>
      <c r="B75" s="2">
        <v>6.91</v>
      </c>
      <c r="C75" s="2">
        <v>7.15</v>
      </c>
      <c r="D75" s="2">
        <v>8999</v>
      </c>
      <c r="E75" s="2">
        <v>278967</v>
      </c>
    </row>
    <row r="76" spans="1:5" x14ac:dyDescent="0.3">
      <c r="A76" s="2" t="s">
        <v>31</v>
      </c>
      <c r="B76" s="2">
        <v>5.73</v>
      </c>
      <c r="C76" s="2">
        <v>6.27</v>
      </c>
      <c r="D76" s="2">
        <v>7891</v>
      </c>
      <c r="E76" s="2">
        <v>236738</v>
      </c>
    </row>
    <row r="77" spans="1:5" x14ac:dyDescent="0.3">
      <c r="A77" s="2" t="s">
        <v>32</v>
      </c>
      <c r="B77" s="2">
        <v>4.42</v>
      </c>
      <c r="C77" s="2">
        <v>5.17</v>
      </c>
      <c r="D77" s="2">
        <v>6501</v>
      </c>
      <c r="E77" s="2">
        <v>201519</v>
      </c>
    </row>
    <row r="78" spans="1:5" x14ac:dyDescent="0.3">
      <c r="A78" s="2" t="s">
        <v>33</v>
      </c>
      <c r="B78" s="2">
        <v>3.34</v>
      </c>
      <c r="C78" s="2">
        <v>4.1900000000000004</v>
      </c>
      <c r="D78" s="2">
        <v>5272</v>
      </c>
      <c r="E78" s="2">
        <v>158165</v>
      </c>
    </row>
    <row r="79" spans="1:5" x14ac:dyDescent="0.3">
      <c r="A79" s="2" t="s">
        <v>34</v>
      </c>
      <c r="B79" s="2">
        <v>2.84</v>
      </c>
      <c r="C79" s="2">
        <v>3.75</v>
      </c>
      <c r="D79" s="2">
        <v>4717</v>
      </c>
      <c r="E79" s="2">
        <v>146235</v>
      </c>
    </row>
    <row r="80" spans="1:5" x14ac:dyDescent="0.3">
      <c r="A80" s="2" t="s">
        <v>35</v>
      </c>
      <c r="B80" s="2">
        <v>5.27</v>
      </c>
      <c r="C80" s="2">
        <v>5.75</v>
      </c>
      <c r="D80" s="2">
        <v>7238</v>
      </c>
      <c r="E80" s="2">
        <v>2641785</v>
      </c>
    </row>
    <row r="82" spans="1:5" x14ac:dyDescent="0.3">
      <c r="C82" s="8" t="s">
        <v>46</v>
      </c>
      <c r="D82" s="8"/>
    </row>
    <row r="84" spans="1:5" x14ac:dyDescent="0.3">
      <c r="A84" s="2"/>
      <c r="B84" s="4" t="s">
        <v>17</v>
      </c>
      <c r="C84" s="4" t="s">
        <v>18</v>
      </c>
      <c r="D84" s="4" t="s">
        <v>19</v>
      </c>
      <c r="E84" s="4" t="s">
        <v>19</v>
      </c>
    </row>
    <row r="85" spans="1:5" x14ac:dyDescent="0.3">
      <c r="A85" s="2"/>
      <c r="B85" s="4" t="s">
        <v>20</v>
      </c>
      <c r="C85" s="4" t="s">
        <v>20</v>
      </c>
      <c r="D85" s="4" t="s">
        <v>21</v>
      </c>
      <c r="E85" s="4" t="s">
        <v>22</v>
      </c>
    </row>
    <row r="86" spans="1:5" x14ac:dyDescent="0.3">
      <c r="A86" s="2" t="s">
        <v>23</v>
      </c>
      <c r="B86" s="2">
        <v>3.01</v>
      </c>
      <c r="C86" s="2">
        <v>3</v>
      </c>
      <c r="D86" s="2">
        <v>1888</v>
      </c>
      <c r="E86" s="2">
        <v>58513</v>
      </c>
    </row>
    <row r="87" spans="1:5" x14ac:dyDescent="0.3">
      <c r="A87" s="2" t="s">
        <v>24</v>
      </c>
      <c r="B87" s="2">
        <v>3.99</v>
      </c>
      <c r="C87" s="2">
        <v>3.98</v>
      </c>
      <c r="D87" s="2">
        <v>2504</v>
      </c>
      <c r="E87" s="2">
        <v>70101</v>
      </c>
    </row>
    <row r="88" spans="1:5" x14ac:dyDescent="0.3">
      <c r="A88" s="2" t="s">
        <v>25</v>
      </c>
      <c r="B88" s="2">
        <v>4.99</v>
      </c>
      <c r="C88" s="2">
        <v>4.97</v>
      </c>
      <c r="D88" s="2">
        <v>3127</v>
      </c>
      <c r="E88" s="2">
        <v>96926</v>
      </c>
    </row>
    <row r="89" spans="1:5" x14ac:dyDescent="0.3">
      <c r="A89" s="2" t="s">
        <v>26</v>
      </c>
      <c r="B89" s="2">
        <v>6.17</v>
      </c>
      <c r="C89" s="2">
        <v>6.14</v>
      </c>
      <c r="D89" s="2">
        <v>3860</v>
      </c>
      <c r="E89" s="2">
        <v>115787</v>
      </c>
    </row>
    <row r="90" spans="1:5" x14ac:dyDescent="0.3">
      <c r="A90" s="2" t="s">
        <v>27</v>
      </c>
      <c r="B90" s="2">
        <v>6.73</v>
      </c>
      <c r="C90" s="2">
        <v>6.69</v>
      </c>
      <c r="D90" s="2">
        <v>4206</v>
      </c>
      <c r="E90" s="2">
        <v>130401</v>
      </c>
    </row>
    <row r="91" spans="1:5" x14ac:dyDescent="0.3">
      <c r="A91" s="2" t="s">
        <v>28</v>
      </c>
      <c r="B91" s="2">
        <v>7.49</v>
      </c>
      <c r="C91" s="2">
        <v>7.45</v>
      </c>
      <c r="D91" s="2">
        <v>4682</v>
      </c>
      <c r="E91" s="2">
        <v>140454</v>
      </c>
    </row>
    <row r="92" spans="1:5" x14ac:dyDescent="0.3">
      <c r="A92" s="2" t="s">
        <v>29</v>
      </c>
      <c r="B92" s="2">
        <v>7.51</v>
      </c>
      <c r="C92" s="2">
        <v>7.46</v>
      </c>
      <c r="D92" s="2">
        <v>4690</v>
      </c>
      <c r="E92" s="2">
        <v>145396</v>
      </c>
    </row>
    <row r="93" spans="1:5" x14ac:dyDescent="0.3">
      <c r="A93" s="2" t="s">
        <v>30</v>
      </c>
      <c r="B93" s="2">
        <v>6.91</v>
      </c>
      <c r="C93" s="2">
        <v>6.87</v>
      </c>
      <c r="D93" s="2">
        <v>4322</v>
      </c>
      <c r="E93" s="2">
        <v>133972</v>
      </c>
    </row>
    <row r="94" spans="1:5" x14ac:dyDescent="0.3">
      <c r="A94" s="2" t="s">
        <v>31</v>
      </c>
      <c r="B94" s="2">
        <v>5.73</v>
      </c>
      <c r="C94" s="2">
        <v>5.71</v>
      </c>
      <c r="D94" s="2">
        <v>3588</v>
      </c>
      <c r="E94" s="2">
        <v>107632</v>
      </c>
    </row>
    <row r="95" spans="1:5" x14ac:dyDescent="0.3">
      <c r="A95" s="2" t="s">
        <v>32</v>
      </c>
      <c r="B95" s="2">
        <v>4.42</v>
      </c>
      <c r="C95" s="2">
        <v>4.41</v>
      </c>
      <c r="D95" s="2">
        <v>2771</v>
      </c>
      <c r="E95" s="2">
        <v>85898</v>
      </c>
    </row>
    <row r="96" spans="1:5" x14ac:dyDescent="0.3">
      <c r="A96" s="2" t="s">
        <v>33</v>
      </c>
      <c r="B96" s="2">
        <v>3.34</v>
      </c>
      <c r="C96" s="2">
        <v>3.34</v>
      </c>
      <c r="D96" s="2">
        <v>2097</v>
      </c>
      <c r="E96" s="2">
        <v>62901</v>
      </c>
    </row>
    <row r="97" spans="1:5" x14ac:dyDescent="0.3">
      <c r="A97" s="2" t="s">
        <v>34</v>
      </c>
      <c r="B97" s="2">
        <v>2.84</v>
      </c>
      <c r="C97" s="2">
        <v>2.84</v>
      </c>
      <c r="D97" s="2">
        <v>1783</v>
      </c>
      <c r="E97" s="2">
        <v>55265</v>
      </c>
    </row>
    <row r="98" spans="1:5" x14ac:dyDescent="0.3">
      <c r="A98" s="2" t="s">
        <v>35</v>
      </c>
      <c r="B98" s="2">
        <v>5.27</v>
      </c>
      <c r="C98" s="2">
        <v>5.24</v>
      </c>
      <c r="D98" s="2">
        <v>3297</v>
      </c>
      <c r="E98" s="2">
        <v>1203246</v>
      </c>
    </row>
    <row r="100" spans="1:5" x14ac:dyDescent="0.3">
      <c r="C100" s="8" t="s">
        <v>47</v>
      </c>
      <c r="D100" s="8"/>
    </row>
    <row r="102" spans="1:5" x14ac:dyDescent="0.3">
      <c r="A102" s="2"/>
      <c r="B102" s="4" t="s">
        <v>17</v>
      </c>
      <c r="C102" s="4" t="s">
        <v>18</v>
      </c>
      <c r="D102" s="4" t="s">
        <v>19</v>
      </c>
      <c r="E102" s="4" t="s">
        <v>19</v>
      </c>
    </row>
    <row r="103" spans="1:5" x14ac:dyDescent="0.3">
      <c r="A103" s="2"/>
      <c r="B103" s="4" t="s">
        <v>20</v>
      </c>
      <c r="C103" s="4" t="s">
        <v>20</v>
      </c>
      <c r="D103" s="4" t="s">
        <v>21</v>
      </c>
      <c r="E103" s="4" t="s">
        <v>22</v>
      </c>
    </row>
    <row r="104" spans="1:5" x14ac:dyDescent="0.3">
      <c r="A104" s="2" t="s">
        <v>23</v>
      </c>
      <c r="B104" s="2">
        <v>3.01</v>
      </c>
      <c r="C104" s="2">
        <v>3</v>
      </c>
      <c r="D104" s="2">
        <v>1888</v>
      </c>
      <c r="E104" s="2">
        <v>58519</v>
      </c>
    </row>
    <row r="105" spans="1:5" x14ac:dyDescent="0.3">
      <c r="A105" s="2" t="s">
        <v>24</v>
      </c>
      <c r="B105" s="2">
        <v>3.99</v>
      </c>
      <c r="C105" s="2">
        <v>3.98</v>
      </c>
      <c r="D105" s="2">
        <v>2503</v>
      </c>
      <c r="E105" s="2">
        <v>70097</v>
      </c>
    </row>
    <row r="106" spans="1:5" x14ac:dyDescent="0.3">
      <c r="A106" s="2" t="s">
        <v>25</v>
      </c>
      <c r="B106" s="2">
        <v>4.99</v>
      </c>
      <c r="C106" s="2">
        <v>4.97</v>
      </c>
      <c r="D106" s="2">
        <v>3127</v>
      </c>
      <c r="E106" s="2">
        <v>96922</v>
      </c>
    </row>
    <row r="107" spans="1:5" x14ac:dyDescent="0.3">
      <c r="A107" s="2" t="s">
        <v>26</v>
      </c>
      <c r="B107" s="2">
        <v>6.17</v>
      </c>
      <c r="C107" s="2">
        <v>6.14</v>
      </c>
      <c r="D107" s="2">
        <v>3860</v>
      </c>
      <c r="E107" s="2">
        <v>115800</v>
      </c>
    </row>
    <row r="108" spans="1:5" x14ac:dyDescent="0.3">
      <c r="A108" s="2" t="s">
        <v>27</v>
      </c>
      <c r="B108" s="2">
        <v>6.73</v>
      </c>
      <c r="C108" s="2">
        <v>6.69</v>
      </c>
      <c r="D108" s="2">
        <v>4207</v>
      </c>
      <c r="E108" s="2">
        <v>130417</v>
      </c>
    </row>
    <row r="109" spans="1:5" x14ac:dyDescent="0.3">
      <c r="A109" s="2" t="s">
        <v>28</v>
      </c>
      <c r="B109" s="2">
        <v>7.49</v>
      </c>
      <c r="C109" s="2">
        <v>7.45</v>
      </c>
      <c r="D109" s="2">
        <v>4682</v>
      </c>
      <c r="E109" s="2">
        <v>140471</v>
      </c>
    </row>
    <row r="110" spans="1:5" x14ac:dyDescent="0.3">
      <c r="A110" s="2" t="s">
        <v>29</v>
      </c>
      <c r="B110" s="2">
        <v>7.51</v>
      </c>
      <c r="C110" s="2">
        <v>7.46</v>
      </c>
      <c r="D110" s="2">
        <v>4691</v>
      </c>
      <c r="E110" s="2">
        <v>145414</v>
      </c>
    </row>
    <row r="111" spans="1:5" x14ac:dyDescent="0.3">
      <c r="A111" s="2" t="s">
        <v>30</v>
      </c>
      <c r="B111" s="2">
        <v>6.91</v>
      </c>
      <c r="C111" s="2">
        <v>6.87</v>
      </c>
      <c r="D111" s="2">
        <v>4322</v>
      </c>
      <c r="E111" s="2">
        <v>133970</v>
      </c>
    </row>
    <row r="112" spans="1:5" x14ac:dyDescent="0.3">
      <c r="A112" s="2" t="s">
        <v>31</v>
      </c>
      <c r="B112" s="2">
        <v>5.73</v>
      </c>
      <c r="C112" s="2">
        <v>5.71</v>
      </c>
      <c r="D112" s="2">
        <v>3588</v>
      </c>
      <c r="E112" s="2">
        <v>107628</v>
      </c>
    </row>
    <row r="113" spans="1:5" x14ac:dyDescent="0.3">
      <c r="A113" s="2" t="s">
        <v>32</v>
      </c>
      <c r="B113" s="2">
        <v>4.42</v>
      </c>
      <c r="C113" s="2">
        <v>4.41</v>
      </c>
      <c r="D113" s="2">
        <v>2771</v>
      </c>
      <c r="E113" s="2">
        <v>85907</v>
      </c>
    </row>
    <row r="114" spans="1:5" x14ac:dyDescent="0.3">
      <c r="A114" s="2" t="s">
        <v>33</v>
      </c>
      <c r="B114" s="2">
        <v>3.34</v>
      </c>
      <c r="C114" s="2">
        <v>3.34</v>
      </c>
      <c r="D114" s="2">
        <v>2097</v>
      </c>
      <c r="E114" s="2">
        <v>62908</v>
      </c>
    </row>
    <row r="115" spans="1:5" x14ac:dyDescent="0.3">
      <c r="A115" s="2" t="s">
        <v>34</v>
      </c>
      <c r="B115" s="2">
        <v>2.84</v>
      </c>
      <c r="C115" s="2">
        <v>2.84</v>
      </c>
      <c r="D115" s="2">
        <v>1783</v>
      </c>
      <c r="E115" s="2">
        <v>55270</v>
      </c>
    </row>
    <row r="116" spans="1:5" x14ac:dyDescent="0.3">
      <c r="A116" s="2" t="s">
        <v>35</v>
      </c>
      <c r="B116" s="2">
        <v>5.27</v>
      </c>
      <c r="C116" s="2">
        <v>5.24</v>
      </c>
      <c r="D116" s="2">
        <v>3297</v>
      </c>
      <c r="E116" s="2">
        <v>1203322</v>
      </c>
    </row>
  </sheetData>
  <mergeCells count="7">
    <mergeCell ref="C82:D82"/>
    <mergeCell ref="C100:D100"/>
    <mergeCell ref="C2:N2"/>
    <mergeCell ref="C12:D12"/>
    <mergeCell ref="C30:D30"/>
    <mergeCell ref="C65:D65"/>
    <mergeCell ref="C48:D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2025-11-24T21:58:36Z</dcterms:created>
  <dcterms:modified xsi:type="dcterms:W3CDTF">2026-01-06T01:12:33Z</dcterms:modified>
</cp:coreProperties>
</file>