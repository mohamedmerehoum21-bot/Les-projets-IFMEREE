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BD0FCC6-4E6C-439D-A477-05687618A4AF}" xr6:coauthVersionLast="36" xr6:coauthVersionMax="47" xr10:uidLastSave="{00000000-0000-0000-0000-000000000000}"/>
  <bookViews>
    <workbookView xWindow="0" yWindow="0" windowWidth="23040" windowHeight="8940" xr2:uid="{1F5E3873-285F-4358-8CB6-2AA5E98C871E}"/>
  </bookViews>
  <sheets>
    <sheet name="Consommation" sheetId="2" r:id="rId1"/>
    <sheet name="Production" sheetId="3" r:id="rId2"/>
    <sheet name="Adéquation" sheetId="5" r:id="rId3"/>
    <sheet name="Chiffre clè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" i="4" l="1"/>
  <c r="E8" i="2" l="1"/>
  <c r="E9" i="2"/>
  <c r="E10" i="2"/>
  <c r="E11" i="2"/>
  <c r="E12" i="2"/>
  <c r="E13" i="2"/>
  <c r="E14" i="2"/>
  <c r="E15" i="2"/>
  <c r="E16" i="2"/>
  <c r="E17" i="2"/>
  <c r="E18" i="2"/>
  <c r="E7" i="2"/>
  <c r="F6" i="4" l="1"/>
  <c r="H6" i="4"/>
  <c r="G6" i="4" s="1"/>
  <c r="J6" i="4"/>
  <c r="I6" i="4" s="1"/>
  <c r="K6" i="4"/>
  <c r="L6" i="4"/>
  <c r="F7" i="4"/>
  <c r="H7" i="4"/>
  <c r="G7" i="4" s="1"/>
  <c r="J7" i="4"/>
  <c r="I7" i="4" s="1"/>
  <c r="K7" i="4"/>
  <c r="L7" i="4"/>
  <c r="M7" i="4"/>
  <c r="F8" i="4"/>
  <c r="H8" i="4"/>
  <c r="G8" i="4" s="1"/>
  <c r="J8" i="4"/>
  <c r="I8" i="4" s="1"/>
  <c r="K8" i="4"/>
  <c r="L8" i="4"/>
  <c r="M8" i="4"/>
  <c r="F9" i="4"/>
  <c r="H9" i="4"/>
  <c r="G9" i="4" s="1"/>
  <c r="J9" i="4"/>
  <c r="I9" i="4" s="1"/>
  <c r="K9" i="4"/>
  <c r="L9" i="4"/>
  <c r="M9" i="4"/>
  <c r="F10" i="4"/>
  <c r="H10" i="4"/>
  <c r="G10" i="4" s="1"/>
  <c r="J10" i="4"/>
  <c r="I10" i="4" s="1"/>
  <c r="K10" i="4"/>
  <c r="L10" i="4"/>
  <c r="M10" i="4"/>
  <c r="F11" i="4"/>
  <c r="H11" i="4"/>
  <c r="G11" i="4" s="1"/>
  <c r="J11" i="4"/>
  <c r="I11" i="4" s="1"/>
  <c r="K11" i="4"/>
  <c r="L11" i="4"/>
  <c r="M11" i="4"/>
  <c r="F12" i="4"/>
  <c r="H12" i="4"/>
  <c r="G12" i="4" s="1"/>
  <c r="J12" i="4"/>
  <c r="I12" i="4" s="1"/>
  <c r="K12" i="4"/>
  <c r="L12" i="4"/>
  <c r="M12" i="4"/>
  <c r="F13" i="4"/>
  <c r="H13" i="4"/>
  <c r="G13" i="4" s="1"/>
  <c r="J13" i="4"/>
  <c r="I13" i="4" s="1"/>
  <c r="K13" i="4"/>
  <c r="L13" i="4"/>
  <c r="M13" i="4"/>
  <c r="F14" i="4"/>
  <c r="H14" i="4"/>
  <c r="G14" i="4" s="1"/>
  <c r="J14" i="4"/>
  <c r="I14" i="4" s="1"/>
  <c r="K14" i="4"/>
  <c r="L14" i="4"/>
  <c r="M14" i="4"/>
  <c r="F15" i="4"/>
  <c r="G15" i="4"/>
  <c r="H15" i="4"/>
  <c r="J15" i="4"/>
  <c r="I15" i="4" s="1"/>
  <c r="K15" i="4"/>
  <c r="L15" i="4"/>
  <c r="M15" i="4"/>
  <c r="F16" i="4"/>
  <c r="H16" i="4"/>
  <c r="G16" i="4" s="1"/>
  <c r="J16" i="4"/>
  <c r="I16" i="4" s="1"/>
  <c r="K16" i="4"/>
  <c r="L16" i="4"/>
  <c r="M16" i="4"/>
  <c r="F17" i="4"/>
  <c r="H17" i="4"/>
  <c r="G17" i="4" s="1"/>
  <c r="J17" i="4"/>
  <c r="I17" i="4" s="1"/>
  <c r="K17" i="4"/>
  <c r="L17" i="4"/>
  <c r="M17" i="4"/>
  <c r="M18" i="4" l="1"/>
</calcChain>
</file>

<file path=xl/sharedStrings.xml><?xml version="1.0" encoding="utf-8"?>
<sst xmlns="http://schemas.openxmlformats.org/spreadsheetml/2006/main" count="89" uniqueCount="49">
  <si>
    <t>Mois</t>
  </si>
  <si>
    <t>Consommation H.Pointe</t>
  </si>
  <si>
    <t>Consommation H.Pleines</t>
  </si>
  <si>
    <t>Consommation H.Creuses</t>
  </si>
  <si>
    <t>Total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</si>
  <si>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</si>
  <si>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</si>
  <si>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</si>
  <si>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</si>
  <si>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</si>
  <si>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</si>
  <si>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</si>
  <si>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</si>
  <si>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</si>
  <si>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</si>
  <si>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</si>
  <si>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</si>
  <si>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La consommation</t>
  </si>
  <si>
    <t>La production</t>
  </si>
  <si>
    <t>Global horizontal</t>
  </si>
  <si>
    <t>Plan capteurs</t>
  </si>
  <si>
    <t>Sortie système</t>
  </si>
  <si>
    <t>kWh/m²/jour</t>
  </si>
  <si>
    <t>kWh/jour</t>
  </si>
  <si>
    <t>kWh</t>
  </si>
  <si>
    <t>Jan.</t>
  </si>
  <si>
    <t>Fév.</t>
  </si>
  <si>
    <t>Avr.</t>
  </si>
  <si>
    <t>Jui.</t>
  </si>
  <si>
    <t>Sep.</t>
  </si>
  <si>
    <t>Oct.</t>
  </si>
  <si>
    <t>Nov.</t>
  </si>
  <si>
    <t>Déc.</t>
  </si>
  <si>
    <t>Ann.</t>
  </si>
  <si>
    <t>Chiffre clès</t>
  </si>
  <si>
    <t>Production</t>
  </si>
  <si>
    <t>Année</t>
  </si>
  <si>
    <t>Difference H, pleine</t>
  </si>
  <si>
    <t>Energie injecter au réseau (Kwh)</t>
  </si>
  <si>
    <t>Energie injecter au réseau (%)</t>
  </si>
  <si>
    <t>Energie acheté au réseau (%)</t>
  </si>
  <si>
    <t>Energie acheté au réseau (Kwh)</t>
  </si>
  <si>
    <t>Consommation total</t>
  </si>
  <si>
    <t>Couverture de besoin</t>
  </si>
  <si>
    <t>Production consommée</t>
  </si>
  <si>
    <t>Couverture de besoin Total</t>
  </si>
  <si>
    <t>Adéquation</t>
  </si>
  <si>
    <t>Suivant</t>
  </si>
  <si>
    <t>Précédent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</si>
</sst>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2" fillId="0" borderId="0" xfId="0" applyFont="1" applyFill="1" applyBorder="1" applyAlignment="1"/>
    <xf numFmtId="0" fontId="1" fillId="0" borderId="0" xfId="0" applyFont="1" applyFill="1" applyBorder="1" applyAlignment="1"/>
    <xf numFmtId="0" fontId="0" fillId="0" borderId="1" xfId="0" applyFill="1" applyBorder="1"/>
    <xf numFmtId="0" fontId="0" fillId="0" borderId="1" xfId="0" applyBorder="1" applyAlignment="1">
      <alignment horizontal="right"/>
    </xf>
    <xf numFmtId="0" fontId="0" fillId="4" borderId="1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fr-MA"/>
              <a:t>Courbe de consommation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Consommation!$A$7:$A$18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Consommation!$C$7:$C$18</c:f>
              <c:numCache>
                <c:formatCode>General</c:formatCode>
                <c:ptCount val="12"/>
                <c:pt idx="0">
                  <c:v>280800</c:v>
                </c:pt>
                <c:pt idx="1">
                  <c:v>286100</c:v>
                </c:pt>
                <c:pt idx="2">
                  <c:v>275900</c:v>
                </c:pt>
                <c:pt idx="3">
                  <c:v>290122</c:v>
                </c:pt>
                <c:pt idx="4">
                  <c:v>285789</c:v>
                </c:pt>
                <c:pt idx="5">
                  <c:v>280780</c:v>
                </c:pt>
                <c:pt idx="6">
                  <c:v>300500</c:v>
                </c:pt>
                <c:pt idx="7">
                  <c:v>301009</c:v>
                </c:pt>
                <c:pt idx="8">
                  <c:v>269000</c:v>
                </c:pt>
                <c:pt idx="9">
                  <c:v>265890</c:v>
                </c:pt>
                <c:pt idx="10">
                  <c:v>267980</c:v>
                </c:pt>
                <c:pt idx="11">
                  <c:v>278907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1-45FE-8085-9F2E17A12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866898128"/>
        <c:axId val="797141616"/>
      </c:lineChart>
      <c:catAx>
        <c:axId val="8668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7141616"/>
        <c:crosses val="autoZero"/>
        <c:auto val="1"/>
        <c:lblAlgn val="ctr"/>
        <c:lblOffset val="100"/>
        <c:noMultiLvlLbl val="0"/>
      </c:catAx>
      <c:valAx>
        <c:axId val="79714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68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MA"/>
              <a:t>Histogramme de consommation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Consommation!$A$7:$A$18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Consommation!$C$7:$C$18</c:f>
              <c:numCache>
                <c:formatCode>General</c:formatCode>
                <c:ptCount val="12"/>
                <c:pt idx="0">
                  <c:v>280800</c:v>
                </c:pt>
                <c:pt idx="1">
                  <c:v>286100</c:v>
                </c:pt>
                <c:pt idx="2">
                  <c:v>275900</c:v>
                </c:pt>
                <c:pt idx="3">
                  <c:v>290122</c:v>
                </c:pt>
                <c:pt idx="4">
                  <c:v>285789</c:v>
                </c:pt>
                <c:pt idx="5">
                  <c:v>280780</c:v>
                </c:pt>
                <c:pt idx="6">
                  <c:v>300500</c:v>
                </c:pt>
                <c:pt idx="7">
                  <c:v>301009</c:v>
                </c:pt>
                <c:pt idx="8">
                  <c:v>269000</c:v>
                </c:pt>
                <c:pt idx="9">
                  <c:v>265890</c:v>
                </c:pt>
                <c:pt idx="10">
                  <c:v>267980</c:v>
                </c:pt>
                <c:pt idx="11">
                  <c:v>278907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4-45C6-A5CB-EE3E86776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42092000"/>
        <c:axId val="942096320"/>
      </c:barChart>
      <c:catAx>
        <c:axId val="9420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2096320"/>
        <c:crosses val="autoZero"/>
        <c:auto val="1"/>
        <c:lblAlgn val="ctr"/>
        <c:lblOffset val="100"/>
        <c:noMultiLvlLbl val="0"/>
      </c:catAx>
      <c:valAx>
        <c:axId val="94209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209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68372703412074"/>
          <c:y val="6.0185185185185182E-2"/>
          <c:w val="0.87764129483814524"/>
          <c:h val="0.72751713327500733"/>
        </c:manualLayout>
      </c:layout>
      <c:lineChart>
        <c:grouping val="standard"/>
        <c:varyColors val="0"/>
        <c:ser>
          <c:idx val="0"/>
          <c:order val="0"/>
          <c:tx>
            <c:strRef>
              <c:f>Adéquation!$D$6</c:f>
              <c:strCache>
                <c:ptCount val="1"/>
                <c:pt idx="0">
                  <c:v>Consommation 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Adéquation!$B$7:$B$18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Adéquation!$D$7:$D$18</c:f>
              <c:numCache>
                <c:formatCode>General</c:formatCode>
                <c:ptCount val="12"/>
                <c:pt idx="0">
                  <c:v>280800</c:v>
                </c:pt>
                <c:pt idx="1">
                  <c:v>286100</c:v>
                </c:pt>
                <c:pt idx="2">
                  <c:v>275900</c:v>
                </c:pt>
                <c:pt idx="3">
                  <c:v>290122</c:v>
                </c:pt>
                <c:pt idx="4">
                  <c:v>285789</c:v>
                </c:pt>
                <c:pt idx="5">
                  <c:v>280780</c:v>
                </c:pt>
                <c:pt idx="6">
                  <c:v>300500</c:v>
                </c:pt>
                <c:pt idx="7">
                  <c:v>301009</c:v>
                </c:pt>
                <c:pt idx="8">
                  <c:v>269000</c:v>
                </c:pt>
                <c:pt idx="9">
                  <c:v>265890</c:v>
                </c:pt>
                <c:pt idx="10">
                  <c:v>267980</c:v>
                </c:pt>
                <c:pt idx="11">
                  <c:v>278907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B6-451C-8732-C7A6D492693F}"/>
            </c:ext>
          </c:extLst>
        </c:ser>
        <c:ser>
          <c:idx val="1"/>
          <c:order val="1"/>
          <c:tx>
            <c:strRef>
              <c:f>Adéquation!$E$6</c:f>
              <c:strCache>
                <c:ptCount val="1"/>
                <c:pt idx="0">
                  <c:v>Production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Adéquation!$B$7:$B$18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Adéquation!$E$7:$E$18</c:f>
              <c:numCache>
                <c:formatCode>General</c:formatCode>
                <c:ptCount val="12"/>
                <c:pt idx="0">
                  <c:v>150864</c:v>
                </c:pt>
                <c:pt idx="1">
                  <c:v>168293</c:v>
                </c:pt>
                <c:pt idx="2">
                  <c:v>218289</c:v>
                </c:pt>
                <c:pt idx="3">
                  <c:v>245872</c:v>
                </c:pt>
                <c:pt idx="4">
                  <c:v>264944</c:v>
                </c:pt>
                <c:pt idx="5">
                  <c:v>279708</c:v>
                </c:pt>
                <c:pt idx="6">
                  <c:v>292191</c:v>
                </c:pt>
                <c:pt idx="7">
                  <c:v>278967</c:v>
                </c:pt>
                <c:pt idx="8">
                  <c:v>236738</c:v>
                </c:pt>
                <c:pt idx="9">
                  <c:v>201519</c:v>
                </c:pt>
                <c:pt idx="10">
                  <c:v>158165</c:v>
                </c:pt>
                <c:pt idx="11">
                  <c:v>146235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B6-451C-8732-C7A6D4926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3677231"/>
        <c:axId val="1743679631"/>
      </c:lineChart>
      <c:catAx>
        <c:axId val="174367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3679631"/>
        <c:crosses val="autoZero"/>
        <c:auto val="1"/>
        <c:lblAlgn val="ctr"/>
        <c:lblOffset val="100"/>
        <c:noMultiLvlLbl val="0"/>
      </c:catAx>
      <c:valAx>
        <c:axId val="174367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367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oduction!A1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Ad&#233;quation!A1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hyperlink" Target="#Consommation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oduction!A1"/><Relationship Id="rId2" Type="http://schemas.openxmlformats.org/officeDocument/2006/relationships/hyperlink" Target="#'Chiffre cl&#232;s'!A1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Ad&#233;quatio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4</xdr:row>
      <xdr:rowOff>138112</xdr:rowOff>
    </xdr:from>
    <xdr:to>
      <xdr:col>11</xdr:col>
      <xdr:colOff>190500</xdr:colOff>
      <xdr:row>18</xdr:row>
      <xdr:rowOff>23812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4B8E1CE-4F2E-3812-7F54-3E121571D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342900</xdr:colOff>
      <xdr:row>4</xdr:row>
      <xdr:rowOff>147637</xdr:rowOff>
    </xdr:from>
    <xdr:to>
      <xdr:col>17</xdr:col>
      <xdr:colOff>342900</xdr:colOff>
      <xdr:row>18</xdr:row>
      <xdr:rowOff>33337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E30DE1F-67F7-7CF3-A720-9BD42FC47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769620</xdr:colOff>
      <xdr:row>23</xdr:row>
      <xdr:rowOff>22860</xdr:rowOff>
    </xdr:from>
    <xdr:to>
      <xdr:col>14</xdr:col>
      <xdr:colOff>41148</xdr:colOff>
      <xdr:row>25</xdr:row>
      <xdr:rowOff>156972</xdr:rowOff>
    </xdr:to>
    <xdr:sp macro="" textlink="">
      <xdr:nvSpPr>
        <xdr:cNvPr id="2" name="Flèche : droit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93725A-1F43-4F1F-A938-421E5DF7CB65}"/>
            </a:ext>
          </a:extLst>
        </xdr:cNvPr>
        <xdr:cNvSpPr/>
      </xdr:nvSpPr>
      <xdr:spPr>
        <a:xfrm>
          <a:off x="11841480" y="4290060"/>
          <a:ext cx="978408" cy="484632"/>
        </a:xfrm>
        <a:prstGeom prst="rightArrow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182880</xdr:colOff>
      <xdr:row>4</xdr:row>
      <xdr:rowOff>129540</xdr:rowOff>
    </xdr:from>
    <xdr:to>
      <xdr:col>14</xdr:col>
      <xdr:colOff>431550</xdr:colOff>
      <xdr:row>20</xdr:row>
      <xdr:rowOff>115856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D167239E-2527-4AF5-94CA-1D31C1BBE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6520" y="891540"/>
          <a:ext cx="7076190" cy="2790476"/>
        </a:xfrm>
        <a:prstGeom prst="rect">
          <a:avLst/>
        </a:prstGeom>
      </xdr:spPr>
    </xdr:pic>
    <xdr:clientData/>
  </xdr:twoCellAnchor>
  <xdr:twoCellAnchor editAs="oneCell">
    <xdr:from>
      <xdr:col>14</xdr:col>
      <xdr:colOff>274320</xdr:colOff>
      <xdr:row>4</xdr:row>
      <xdr:rowOff>137160</xdr:rowOff>
    </xdr:from>
    <xdr:to>
      <xdr:col>22</xdr:col>
      <xdr:colOff>522990</xdr:colOff>
      <xdr:row>20</xdr:row>
      <xdr:rowOff>123476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C8F11B79-2AAA-4F0D-B6F4-F2142F8A4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65480" y="899160"/>
          <a:ext cx="7076190" cy="2790476"/>
        </a:xfrm>
        <a:prstGeom prst="rect">
          <a:avLst/>
        </a:prstGeom>
      </xdr:spPr>
    </xdr:pic>
    <xdr:clientData/>
  </xdr:twoCellAnchor>
  <xdr:twoCellAnchor>
    <xdr:from>
      <xdr:col>12</xdr:col>
      <xdr:colOff>800100</xdr:colOff>
      <xdr:row>25</xdr:row>
      <xdr:rowOff>7620</xdr:rowOff>
    </xdr:from>
    <xdr:to>
      <xdr:col>14</xdr:col>
      <xdr:colOff>71628</xdr:colOff>
      <xdr:row>27</xdr:row>
      <xdr:rowOff>141732</xdr:rowOff>
    </xdr:to>
    <xdr:sp macro="" textlink="">
      <xdr:nvSpPr>
        <xdr:cNvPr id="2" name="Flèche : droit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707563-3579-4771-996C-97758CB2EAC1}"/>
            </a:ext>
          </a:extLst>
        </xdr:cNvPr>
        <xdr:cNvSpPr/>
      </xdr:nvSpPr>
      <xdr:spPr>
        <a:xfrm>
          <a:off x="12184380" y="4450080"/>
          <a:ext cx="978408" cy="484632"/>
        </a:xfrm>
        <a:prstGeom prst="rightArrow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640080</xdr:colOff>
      <xdr:row>25</xdr:row>
      <xdr:rowOff>7620</xdr:rowOff>
    </xdr:from>
    <xdr:to>
      <xdr:col>1</xdr:col>
      <xdr:colOff>765048</xdr:colOff>
      <xdr:row>27</xdr:row>
      <xdr:rowOff>141732</xdr:rowOff>
    </xdr:to>
    <xdr:sp macro="" textlink="">
      <xdr:nvSpPr>
        <xdr:cNvPr id="3" name="Flèche : gauch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F60CE6E-CDD9-4AE3-A76D-BE3139C497B3}"/>
            </a:ext>
          </a:extLst>
        </xdr:cNvPr>
        <xdr:cNvSpPr/>
      </xdr:nvSpPr>
      <xdr:spPr>
        <a:xfrm>
          <a:off x="640080" y="4450080"/>
          <a:ext cx="978408" cy="484632"/>
        </a:xfrm>
        <a:prstGeom prst="leftArrow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4</xdr:row>
      <xdr:rowOff>176212</xdr:rowOff>
    </xdr:from>
    <xdr:to>
      <xdr:col>11</xdr:col>
      <xdr:colOff>361950</xdr:colOff>
      <xdr:row>18</xdr:row>
      <xdr:rowOff>61912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EDBA3FB-36ED-0154-AE01-1994769EE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708660</xdr:colOff>
      <xdr:row>22</xdr:row>
      <xdr:rowOff>15240</xdr:rowOff>
    </xdr:from>
    <xdr:to>
      <xdr:col>14</xdr:col>
      <xdr:colOff>833628</xdr:colOff>
      <xdr:row>24</xdr:row>
      <xdr:rowOff>149352</xdr:rowOff>
    </xdr:to>
    <xdr:sp macro="" textlink="">
      <xdr:nvSpPr>
        <xdr:cNvPr id="3" name="Flèche : droit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6757EE-49CF-477F-BA30-8B6FBD40B5A2}"/>
            </a:ext>
          </a:extLst>
        </xdr:cNvPr>
        <xdr:cNvSpPr/>
      </xdr:nvSpPr>
      <xdr:spPr>
        <a:xfrm>
          <a:off x="12390120" y="4046220"/>
          <a:ext cx="978408" cy="484632"/>
        </a:xfrm>
        <a:prstGeom prst="rightArrow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624840</xdr:colOff>
      <xdr:row>22</xdr:row>
      <xdr:rowOff>22860</xdr:rowOff>
    </xdr:from>
    <xdr:to>
      <xdr:col>1</xdr:col>
      <xdr:colOff>749808</xdr:colOff>
      <xdr:row>24</xdr:row>
      <xdr:rowOff>156972</xdr:rowOff>
    </xdr:to>
    <xdr:sp macro="" textlink="">
      <xdr:nvSpPr>
        <xdr:cNvPr id="4" name="Flèche : gauch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660BE17-1ECE-4B49-85C0-D829554FE59B}"/>
            </a:ext>
          </a:extLst>
        </xdr:cNvPr>
        <xdr:cNvSpPr/>
      </xdr:nvSpPr>
      <xdr:spPr>
        <a:xfrm>
          <a:off x="624840" y="4053840"/>
          <a:ext cx="978408" cy="484632"/>
        </a:xfrm>
        <a:prstGeom prst="leftArrow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23</xdr:row>
      <xdr:rowOff>7620</xdr:rowOff>
    </xdr:from>
    <xdr:to>
      <xdr:col>1</xdr:col>
      <xdr:colOff>772668</xdr:colOff>
      <xdr:row>25</xdr:row>
      <xdr:rowOff>141732</xdr:rowOff>
    </xdr:to>
    <xdr:sp macro="" textlink="">
      <xdr:nvSpPr>
        <xdr:cNvPr id="2" name="Flèche :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442D48-A571-4DD0-AD25-1F7E5B96081D}"/>
            </a:ext>
          </a:extLst>
        </xdr:cNvPr>
        <xdr:cNvSpPr/>
      </xdr:nvSpPr>
      <xdr:spPr>
        <a:xfrm>
          <a:off x="647700" y="4389120"/>
          <a:ext cx="978408" cy="484632"/>
        </a:xfrm>
        <a:prstGeom prst="leftArrow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1F85-2B0B-429C-BA41-BAB3C9C763A2}">
  <sheetPr>
    <tabColor rgb="FFFF0000"/>
  </sheetPr>
  <dimension ref="A1:N30"/>
  <sheetViews>
    <sheetView tabSelected="1" workbookViewId="0"/>
  </sheetViews>
  <sheetFormatPr baseColWidth="10" defaultRowHeight="13.8"/>
  <cols>
    <col min="2" max="2" width="14.59765625" customWidth="1"/>
    <col min="3" max="3" width="14.8984375" customWidth="1"/>
    <col min="4" max="4" width="15" customWidth="1"/>
  </cols>
  <sheetData>
    <row r="1" spans="1:10" ht="15" customHeight="1">
      <c r="A1" s="3"/>
      <c r="B1" s="5"/>
      <c r="C1" s="5"/>
      <c r="D1" s="5"/>
      <c r="E1" s="16" t="s">
        <v>17</v>
      </c>
      <c r="F1" s="16"/>
      <c r="G1" s="16"/>
      <c r="H1" s="16"/>
      <c r="I1" s="16"/>
      <c r="J1" s="16"/>
    </row>
    <row r="2" spans="1:10" ht="15" customHeight="1">
      <c r="B2" s="5"/>
      <c r="C2" s="5"/>
      <c r="D2" s="5"/>
      <c r="E2" s="16"/>
      <c r="F2" s="16"/>
      <c r="G2" s="16"/>
      <c r="H2" s="16"/>
      <c r="I2" s="16"/>
      <c r="J2" s="16"/>
    </row>
    <row r="3" spans="1:10" ht="15" customHeight="1">
      <c r="B3" s="5"/>
      <c r="C3" s="5"/>
      <c r="D3" s="5"/>
      <c r="E3" s="16"/>
      <c r="F3" s="16"/>
      <c r="G3" s="16"/>
      <c r="H3" s="16"/>
      <c r="I3" s="16"/>
      <c r="J3" s="16"/>
    </row>
    <row r="4" spans="1:10" ht="15" customHeight="1">
      <c r="B4" s="5"/>
      <c r="C4" s="5"/>
      <c r="D4" s="5"/>
      <c r="E4" s="16"/>
      <c r="F4" s="16"/>
      <c r="G4" s="16"/>
      <c r="H4" s="16"/>
      <c r="I4" s="16"/>
      <c r="J4" s="16"/>
    </row>
    <row r="6" spans="1:10" ht="27.6">
      <c r="A6" s="14" t="s">
        <v>0</v>
      </c>
      <c r="B6" s="14" t="s">
        <v>1</v>
      </c>
      <c r="C6" s="14" t="s">
        <v>2</v>
      </c>
      <c r="D6" s="14" t="s">
        <v>3</v>
      </c>
      <c r="E6" s="14" t="s">
        <v>4</v>
      </c>
    </row>
    <row r="7" spans="1:10">
      <c r="A7" s="1" t="s">
        <v>5</v>
      </c>
      <c r="B7" s="15">
        <v>110908</v>
      </c>
      <c r="C7" s="2">
        <v>280800</v>
      </c>
      <c r="D7" s="2">
        <v>110067</v>
      </c>
      <c r="E7" s="1">
        <f>AVERAGE(B7:D7)</f>
        <v>167258.33333333334</v>
      </c>
    </row>
    <row r="8" spans="1:10">
      <c r="A8" s="1" t="s">
        <v>6</v>
      </c>
      <c r="B8" s="15">
        <v>114789</v>
      </c>
      <c r="C8" s="2">
        <v>286100</v>
      </c>
      <c r="D8" s="2">
        <v>130078</v>
      </c>
      <c r="E8" s="1">
        <f t="shared" ref="E8:E18" si="0">AVERAGE(B8:D8)</f>
        <v>176989</v>
      </c>
    </row>
    <row r="9" spans="1:10">
      <c r="A9" s="1" t="s">
        <v>7</v>
      </c>
      <c r="B9" s="15">
        <v>114589</v>
      </c>
      <c r="C9" s="2">
        <v>275900</v>
      </c>
      <c r="D9" s="2">
        <v>120000</v>
      </c>
      <c r="E9" s="1">
        <f t="shared" si="0"/>
        <v>170163</v>
      </c>
    </row>
    <row r="10" spans="1:10">
      <c r="A10" s="1" t="s">
        <v>8</v>
      </c>
      <c r="B10" s="15">
        <v>113980</v>
      </c>
      <c r="C10" s="2">
        <v>290122</v>
      </c>
      <c r="D10" s="2">
        <v>111789</v>
      </c>
      <c r="E10" s="1">
        <f t="shared" si="0"/>
        <v>171963.66666666666</v>
      </c>
    </row>
    <row r="11" spans="1:10">
      <c r="A11" s="1" t="s">
        <v>9</v>
      </c>
      <c r="B11" s="15">
        <v>115908</v>
      </c>
      <c r="C11" s="2">
        <v>285789</v>
      </c>
      <c r="D11" s="2">
        <v>102456</v>
      </c>
      <c r="E11" s="1">
        <f t="shared" si="0"/>
        <v>168051</v>
      </c>
    </row>
    <row r="12" spans="1:10">
      <c r="A12" s="1" t="s">
        <v>10</v>
      </c>
      <c r="B12" s="15">
        <v>116890</v>
      </c>
      <c r="C12" s="2">
        <v>280780</v>
      </c>
      <c r="D12" s="2">
        <v>108945</v>
      </c>
      <c r="E12" s="1">
        <f t="shared" si="0"/>
        <v>168871.66666666666</v>
      </c>
    </row>
    <row r="13" spans="1:10">
      <c r="A13" s="1" t="s">
        <v>11</v>
      </c>
      <c r="B13" s="15">
        <v>112909</v>
      </c>
      <c r="C13" s="2">
        <v>300500</v>
      </c>
      <c r="D13" s="2">
        <v>109866</v>
      </c>
      <c r="E13" s="1">
        <f t="shared" si="0"/>
        <v>174425</v>
      </c>
    </row>
    <row r="14" spans="1:10">
      <c r="A14" s="1" t="s">
        <v>12</v>
      </c>
      <c r="B14" s="15">
        <v>107890</v>
      </c>
      <c r="C14" s="2">
        <v>301009</v>
      </c>
      <c r="D14" s="2">
        <v>106787</v>
      </c>
      <c r="E14" s="1">
        <f t="shared" si="0"/>
        <v>171895.33333333334</v>
      </c>
    </row>
    <row r="15" spans="1:10">
      <c r="A15" s="1" t="s">
        <v>13</v>
      </c>
      <c r="B15" s="15">
        <v>109457</v>
      </c>
      <c r="C15" s="2">
        <v>269000</v>
      </c>
      <c r="D15" s="2">
        <v>100784</v>
      </c>
      <c r="E15" s="1">
        <f t="shared" si="0"/>
        <v>159747</v>
      </c>
    </row>
    <row r="16" spans="1:10">
      <c r="A16" s="1" t="s">
        <v>14</v>
      </c>
      <c r="B16" s="15">
        <v>110978</v>
      </c>
      <c r="C16" s="2">
        <v>265890</v>
      </c>
      <c r="D16" s="2">
        <v>108905</v>
      </c>
      <c r="E16" s="1">
        <f t="shared" si="0"/>
        <v>161924.33333333334</v>
      </c>
    </row>
    <row r="17" spans="1:14">
      <c r="A17" s="1" t="s">
        <v>15</v>
      </c>
      <c r="B17" s="15">
        <v>107678</v>
      </c>
      <c r="C17" s="2">
        <v>267980</v>
      </c>
      <c r="D17" s="2">
        <v>104689</v>
      </c>
      <c r="E17" s="1">
        <f t="shared" si="0"/>
        <v>160115.66666666666</v>
      </c>
    </row>
    <row r="18" spans="1:14">
      <c r="A18" s="1" t="s">
        <v>16</v>
      </c>
      <c r="B18" s="15">
        <v>107908</v>
      </c>
      <c r="C18" s="2">
        <v>278907</v>
      </c>
      <c r="D18" s="2">
        <v>105897</v>
      </c>
      <c r="E18" s="1">
        <f t="shared" si="0"/>
        <v>164237.33333333334</v>
      </c>
    </row>
    <row r="19" spans="1:14">
      <c r="A19" s="3"/>
      <c r="B19" s="3"/>
      <c r="C19" s="3"/>
      <c r="D19" s="3"/>
      <c r="E19" s="3"/>
    </row>
    <row r="20" spans="1:14">
      <c r="A20" s="3"/>
      <c r="B20" s="3"/>
      <c r="C20" s="3"/>
      <c r="D20" s="3"/>
      <c r="E20" s="3"/>
    </row>
    <row r="21" spans="1:14">
      <c r="A21" s="3"/>
      <c r="B21" s="3"/>
      <c r="C21" s="3"/>
      <c r="D21" s="3"/>
      <c r="E21" s="3"/>
      <c r="F21" s="3"/>
      <c r="G21" s="3"/>
    </row>
    <row r="22" spans="1:14">
      <c r="A22" s="3"/>
      <c r="B22" s="3"/>
      <c r="C22" s="3"/>
      <c r="D22" s="3"/>
      <c r="E22" s="3"/>
      <c r="F22" s="3"/>
      <c r="G22" s="3"/>
    </row>
    <row r="23" spans="1:14">
      <c r="A23" s="3"/>
      <c r="B23" s="3"/>
      <c r="C23" s="3"/>
      <c r="D23" s="3"/>
    </row>
    <row r="24" spans="1:14">
      <c r="A24" s="3"/>
      <c r="B24" s="3"/>
      <c r="D24" s="3"/>
    </row>
    <row r="25" spans="1:14">
      <c r="A25" s="3"/>
      <c r="B25" s="3"/>
      <c r="C25" s="3"/>
      <c r="D25" s="3"/>
      <c r="N25" t="s">
        <v>47</v>
      </c>
    </row>
    <row r="26" spans="1:14">
      <c r="A26" s="3"/>
      <c r="B26" s="3"/>
      <c r="C26" s="3"/>
      <c r="D26" s="3"/>
    </row>
    <row r="27" spans="1:14">
      <c r="A27" s="3"/>
      <c r="B27" s="3"/>
      <c r="C27" s="3"/>
      <c r="D27" s="3"/>
    </row>
    <row r="28" spans="1:14">
      <c r="A28" s="3"/>
      <c r="B28" s="3"/>
      <c r="C28" s="3"/>
      <c r="D28" s="3"/>
    </row>
    <row r="29" spans="1:14">
      <c r="A29" s="3"/>
      <c r="B29" s="3"/>
      <c r="C29" s="3"/>
      <c r="D29" s="3"/>
    </row>
    <row r="30" spans="1:14">
      <c r="A30" s="3"/>
      <c r="B30" s="3"/>
      <c r="C30" s="3"/>
      <c r="D30" s="3"/>
    </row>
  </sheetData>
  <mergeCells count="1">
    <mergeCell ref="E1:J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BCD77-09F9-4B15-811F-EE4A1E73D0F9}">
  <sheetPr>
    <tabColor rgb="FF00B050"/>
  </sheetPr>
  <dimension ref="A1:N27"/>
  <sheetViews>
    <sheetView workbookViewId="0">
      <selection activeCell="D26" sqref="D26"/>
    </sheetView>
  </sheetViews>
  <sheetFormatPr baseColWidth="10" defaultRowHeight="13.8"/>
  <cols>
    <col min="2" max="2" width="16.8984375" customWidth="1"/>
    <col min="3" max="3" width="16" customWidth="1"/>
    <col min="4" max="4" width="11.69921875" customWidth="1"/>
    <col min="5" max="5" width="13.296875" customWidth="1"/>
    <col min="6" max="6" width="13.09765625" customWidth="1"/>
  </cols>
  <sheetData>
    <row r="1" spans="1:10" ht="15" customHeight="1">
      <c r="A1" s="3"/>
      <c r="B1" s="4"/>
      <c r="C1" s="4"/>
      <c r="D1" s="4"/>
      <c r="E1" s="17" t="s">
        <v>18</v>
      </c>
      <c r="F1" s="17"/>
      <c r="G1" s="17"/>
      <c r="H1" s="17"/>
      <c r="I1" s="17"/>
      <c r="J1" s="17"/>
    </row>
    <row r="2" spans="1:10" ht="15" customHeight="1">
      <c r="A2" s="3"/>
      <c r="B2" s="4"/>
      <c r="C2" s="4"/>
      <c r="D2" s="4"/>
      <c r="E2" s="17"/>
      <c r="F2" s="17"/>
      <c r="G2" s="17"/>
      <c r="H2" s="17"/>
      <c r="I2" s="17"/>
      <c r="J2" s="17"/>
    </row>
    <row r="3" spans="1:10" ht="15" customHeight="1">
      <c r="A3" s="3"/>
      <c r="B3" s="4"/>
      <c r="C3" s="4"/>
      <c r="D3" s="4"/>
      <c r="E3" s="17"/>
      <c r="F3" s="17"/>
      <c r="G3" s="17"/>
      <c r="H3" s="17"/>
      <c r="I3" s="17"/>
      <c r="J3" s="17"/>
    </row>
    <row r="4" spans="1:10" ht="15" customHeight="1">
      <c r="A4" s="3"/>
      <c r="B4" s="4"/>
      <c r="C4" s="4"/>
      <c r="D4" s="4"/>
      <c r="E4" s="17"/>
      <c r="F4" s="17"/>
      <c r="G4" s="17"/>
      <c r="H4" s="17"/>
      <c r="I4" s="17"/>
      <c r="J4" s="17"/>
    </row>
    <row r="6" spans="1:10">
      <c r="B6" s="1"/>
      <c r="C6" s="8" t="s">
        <v>19</v>
      </c>
      <c r="D6" s="8" t="s">
        <v>20</v>
      </c>
      <c r="E6" s="8" t="s">
        <v>21</v>
      </c>
      <c r="F6" s="8" t="s">
        <v>21</v>
      </c>
      <c r="G6" s="3"/>
    </row>
    <row r="7" spans="1:10">
      <c r="B7" s="1"/>
      <c r="C7" s="8" t="s">
        <v>22</v>
      </c>
      <c r="D7" s="8" t="s">
        <v>22</v>
      </c>
      <c r="E7" s="8" t="s">
        <v>23</v>
      </c>
      <c r="F7" s="8" t="s">
        <v>24</v>
      </c>
      <c r="G7" s="3"/>
    </row>
    <row r="8" spans="1:10">
      <c r="B8" s="1" t="s">
        <v>25</v>
      </c>
      <c r="C8" s="1">
        <v>3.01</v>
      </c>
      <c r="D8" s="1">
        <v>3.87</v>
      </c>
      <c r="E8" s="1">
        <v>4867</v>
      </c>
      <c r="F8" s="1">
        <v>150864</v>
      </c>
      <c r="G8" s="3"/>
    </row>
    <row r="9" spans="1:10">
      <c r="B9" s="1" t="s">
        <v>26</v>
      </c>
      <c r="C9" s="1">
        <v>3.99</v>
      </c>
      <c r="D9" s="1">
        <v>4.78</v>
      </c>
      <c r="E9" s="1">
        <v>6010</v>
      </c>
      <c r="F9" s="1">
        <v>168293</v>
      </c>
      <c r="G9" s="3"/>
    </row>
    <row r="10" spans="1:10">
      <c r="B10" s="1" t="s">
        <v>7</v>
      </c>
      <c r="C10" s="1">
        <v>4.99</v>
      </c>
      <c r="D10" s="1">
        <v>5.6</v>
      </c>
      <c r="E10" s="1">
        <v>7042</v>
      </c>
      <c r="F10" s="1">
        <v>218289</v>
      </c>
      <c r="G10" s="3"/>
    </row>
    <row r="11" spans="1:10">
      <c r="B11" s="1" t="s">
        <v>27</v>
      </c>
      <c r="C11" s="1">
        <v>6.17</v>
      </c>
      <c r="D11" s="1">
        <v>6.51</v>
      </c>
      <c r="E11" s="1">
        <v>8196</v>
      </c>
      <c r="F11" s="1">
        <v>245872</v>
      </c>
      <c r="G11" s="3"/>
    </row>
    <row r="12" spans="1:10">
      <c r="B12" s="1" t="s">
        <v>9</v>
      </c>
      <c r="C12" s="1">
        <v>6.73</v>
      </c>
      <c r="D12" s="1">
        <v>6.79</v>
      </c>
      <c r="E12" s="1">
        <v>8547</v>
      </c>
      <c r="F12" s="1">
        <v>264944</v>
      </c>
      <c r="G12" s="3"/>
    </row>
    <row r="13" spans="1:10">
      <c r="B13" s="1" t="s">
        <v>10</v>
      </c>
      <c r="C13" s="1">
        <v>7.49</v>
      </c>
      <c r="D13" s="1">
        <v>7.41</v>
      </c>
      <c r="E13" s="1">
        <v>9324</v>
      </c>
      <c r="F13" s="1">
        <v>279708</v>
      </c>
      <c r="G13" s="3"/>
    </row>
    <row r="14" spans="1:10">
      <c r="B14" s="1" t="s">
        <v>28</v>
      </c>
      <c r="C14" s="1">
        <v>7.51</v>
      </c>
      <c r="D14" s="1">
        <v>7.49</v>
      </c>
      <c r="E14" s="1">
        <v>9426</v>
      </c>
      <c r="F14" s="1">
        <v>292191</v>
      </c>
      <c r="G14" s="3"/>
    </row>
    <row r="15" spans="1:10">
      <c r="B15" s="1" t="s">
        <v>12</v>
      </c>
      <c r="C15" s="1">
        <v>6.91</v>
      </c>
      <c r="D15" s="1">
        <v>7.15</v>
      </c>
      <c r="E15" s="1">
        <v>8999</v>
      </c>
      <c r="F15" s="1">
        <v>278967</v>
      </c>
      <c r="G15" s="3"/>
    </row>
    <row r="16" spans="1:10">
      <c r="B16" s="1" t="s">
        <v>29</v>
      </c>
      <c r="C16" s="1">
        <v>5.73</v>
      </c>
      <c r="D16" s="1">
        <v>6.27</v>
      </c>
      <c r="E16" s="1">
        <v>7891</v>
      </c>
      <c r="F16" s="1">
        <v>236738</v>
      </c>
      <c r="G16" s="3"/>
    </row>
    <row r="17" spans="2:14">
      <c r="B17" s="1" t="s">
        <v>30</v>
      </c>
      <c r="C17" s="1">
        <v>4.42</v>
      </c>
      <c r="D17" s="1">
        <v>5.17</v>
      </c>
      <c r="E17" s="1">
        <v>6501</v>
      </c>
      <c r="F17" s="1">
        <v>201519</v>
      </c>
      <c r="G17" s="3"/>
    </row>
    <row r="18" spans="2:14">
      <c r="B18" s="1" t="s">
        <v>31</v>
      </c>
      <c r="C18" s="1">
        <v>3.34</v>
      </c>
      <c r="D18" s="1">
        <v>4.1900000000000004</v>
      </c>
      <c r="E18" s="1">
        <v>5272</v>
      </c>
      <c r="F18" s="1">
        <v>158165</v>
      </c>
      <c r="G18" s="3"/>
    </row>
    <row r="19" spans="2:14">
      <c r="B19" s="1" t="s">
        <v>32</v>
      </c>
      <c r="C19" s="1">
        <v>2.84</v>
      </c>
      <c r="D19" s="1">
        <v>3.75</v>
      </c>
      <c r="E19" s="1">
        <v>4717</v>
      </c>
      <c r="F19" s="1">
        <v>146235</v>
      </c>
      <c r="G19" s="3"/>
    </row>
    <row r="20" spans="2:14">
      <c r="B20" s="1" t="s">
        <v>33</v>
      </c>
      <c r="C20" s="1">
        <v>5.27</v>
      </c>
      <c r="D20" s="1">
        <v>5.75</v>
      </c>
      <c r="E20" s="1">
        <v>7238</v>
      </c>
      <c r="F20" s="1">
        <v>2641785</v>
      </c>
      <c r="G20" s="3"/>
    </row>
    <row r="27" spans="2:14">
      <c r="B27" t="s">
        <v>48</v>
      </c>
      <c r="N27" t="s">
        <v>47</v>
      </c>
    </row>
  </sheetData>
  <mergeCells count="1">
    <mergeCell ref="E1:J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029B-4EB9-40BA-9EA9-BD194BB036B8}">
  <sheetPr>
    <tabColor rgb="FF00B0F0"/>
  </sheetPr>
  <dimension ref="B1:O24"/>
  <sheetViews>
    <sheetView zoomScaleNormal="100" workbookViewId="0">
      <selection activeCell="C23" sqref="C23"/>
    </sheetView>
  </sheetViews>
  <sheetFormatPr baseColWidth="10" defaultRowHeight="13.8"/>
  <cols>
    <col min="3" max="3" width="14.69921875" customWidth="1"/>
    <col min="4" max="4" width="15.3984375" customWidth="1"/>
  </cols>
  <sheetData>
    <row r="1" spans="2:10">
      <c r="E1" s="18" t="s">
        <v>46</v>
      </c>
      <c r="F1" s="18"/>
      <c r="G1" s="18"/>
      <c r="H1" s="18"/>
      <c r="I1" s="18"/>
      <c r="J1" s="18"/>
    </row>
    <row r="2" spans="2:10">
      <c r="E2" s="18"/>
      <c r="F2" s="18"/>
      <c r="G2" s="18"/>
      <c r="H2" s="18"/>
      <c r="I2" s="18"/>
      <c r="J2" s="18"/>
    </row>
    <row r="3" spans="2:10">
      <c r="E3" s="18"/>
      <c r="F3" s="18"/>
      <c r="G3" s="18"/>
      <c r="H3" s="18"/>
      <c r="I3" s="18"/>
      <c r="J3" s="18"/>
    </row>
    <row r="4" spans="2:10">
      <c r="E4" s="18"/>
      <c r="F4" s="18"/>
      <c r="G4" s="18"/>
      <c r="H4" s="18"/>
      <c r="I4" s="18"/>
      <c r="J4" s="18"/>
    </row>
    <row r="6" spans="2:10" ht="27.6">
      <c r="B6" s="9" t="s">
        <v>0</v>
      </c>
      <c r="C6" s="9" t="s">
        <v>2</v>
      </c>
      <c r="D6" s="10" t="s">
        <v>42</v>
      </c>
      <c r="E6" s="11" t="s">
        <v>35</v>
      </c>
    </row>
    <row r="7" spans="2:10">
      <c r="B7" s="1" t="s">
        <v>5</v>
      </c>
      <c r="C7" s="2">
        <v>280800</v>
      </c>
      <c r="D7" s="2">
        <v>280800</v>
      </c>
      <c r="E7" s="1">
        <v>150864</v>
      </c>
    </row>
    <row r="8" spans="2:10">
      <c r="B8" s="1" t="s">
        <v>6</v>
      </c>
      <c r="C8" s="2">
        <v>286100</v>
      </c>
      <c r="D8" s="2">
        <v>286100</v>
      </c>
      <c r="E8" s="1">
        <v>168293</v>
      </c>
    </row>
    <row r="9" spans="2:10">
      <c r="B9" s="1" t="s">
        <v>7</v>
      </c>
      <c r="C9" s="2">
        <v>275900</v>
      </c>
      <c r="D9" s="2">
        <v>275900</v>
      </c>
      <c r="E9" s="1">
        <v>218289</v>
      </c>
    </row>
    <row r="10" spans="2:10">
      <c r="B10" s="1" t="s">
        <v>8</v>
      </c>
      <c r="C10" s="2">
        <v>290122</v>
      </c>
      <c r="D10" s="2">
        <v>290122</v>
      </c>
      <c r="E10" s="1">
        <v>245872</v>
      </c>
    </row>
    <row r="11" spans="2:10">
      <c r="B11" s="1" t="s">
        <v>9</v>
      </c>
      <c r="C11" s="2">
        <v>285789</v>
      </c>
      <c r="D11" s="2">
        <v>285789</v>
      </c>
      <c r="E11" s="1">
        <v>264944</v>
      </c>
    </row>
    <row r="12" spans="2:10">
      <c r="B12" s="1" t="s">
        <v>10</v>
      </c>
      <c r="C12" s="2">
        <v>280780</v>
      </c>
      <c r="D12" s="2">
        <v>280780</v>
      </c>
      <c r="E12" s="1">
        <v>279708</v>
      </c>
    </row>
    <row r="13" spans="2:10">
      <c r="B13" s="1" t="s">
        <v>11</v>
      </c>
      <c r="C13" s="2">
        <v>300500</v>
      </c>
      <c r="D13" s="2">
        <v>300500</v>
      </c>
      <c r="E13" s="1">
        <v>292191</v>
      </c>
    </row>
    <row r="14" spans="2:10">
      <c r="B14" s="1" t="s">
        <v>12</v>
      </c>
      <c r="C14" s="2">
        <v>301009</v>
      </c>
      <c r="D14" s="2">
        <v>301009</v>
      </c>
      <c r="E14" s="1">
        <v>278967</v>
      </c>
    </row>
    <row r="15" spans="2:10">
      <c r="B15" s="1" t="s">
        <v>13</v>
      </c>
      <c r="C15" s="2">
        <v>269000</v>
      </c>
      <c r="D15" s="2">
        <v>269000</v>
      </c>
      <c r="E15" s="1">
        <v>236738</v>
      </c>
    </row>
    <row r="16" spans="2:10">
      <c r="B16" s="1" t="s">
        <v>14</v>
      </c>
      <c r="C16" s="2">
        <v>265890</v>
      </c>
      <c r="D16" s="2">
        <v>265890</v>
      </c>
      <c r="E16" s="1">
        <v>201519</v>
      </c>
    </row>
    <row r="17" spans="2:15">
      <c r="B17" s="1" t="s">
        <v>15</v>
      </c>
      <c r="C17" s="2">
        <v>267980</v>
      </c>
      <c r="D17" s="2">
        <v>267980</v>
      </c>
      <c r="E17" s="1">
        <v>158165</v>
      </c>
    </row>
    <row r="18" spans="2:15">
      <c r="B18" s="1" t="s">
        <v>16</v>
      </c>
      <c r="C18" s="2">
        <v>278907</v>
      </c>
      <c r="D18" s="2">
        <v>278907</v>
      </c>
      <c r="E18" s="1">
        <v>146235</v>
      </c>
    </row>
    <row r="19" spans="2:15">
      <c r="E19" s="3"/>
    </row>
    <row r="20" spans="2:15">
      <c r="E20" s="3"/>
    </row>
    <row r="24" spans="2:15">
      <c r="B24" t="s">
        <v>48</v>
      </c>
      <c r="O24" t="s">
        <v>47</v>
      </c>
    </row>
  </sheetData>
  <mergeCells count="1">
    <mergeCell ref="E1:J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443D-B5E0-499A-B51A-8937FB2425AD}">
  <sheetPr>
    <tabColor rgb="FF002060"/>
  </sheetPr>
  <dimension ref="B1:M25"/>
  <sheetViews>
    <sheetView workbookViewId="0">
      <selection activeCell="C24" sqref="C24"/>
    </sheetView>
  </sheetViews>
  <sheetFormatPr baseColWidth="10" defaultRowHeight="13.8"/>
  <cols>
    <col min="3" max="3" width="14.8984375" customWidth="1"/>
    <col min="4" max="4" width="15" customWidth="1"/>
    <col min="7" max="7" width="14.69921875" customWidth="1"/>
    <col min="8" max="8" width="13.69921875" customWidth="1"/>
    <col min="10" max="10" width="13.296875" customWidth="1"/>
    <col min="11" max="11" width="11.8984375" customWidth="1"/>
  </cols>
  <sheetData>
    <row r="1" spans="2:13">
      <c r="C1" s="19" t="s">
        <v>34</v>
      </c>
      <c r="D1" s="19"/>
      <c r="E1" s="19"/>
      <c r="F1" s="19"/>
      <c r="G1" s="19"/>
    </row>
    <row r="2" spans="2:13">
      <c r="C2" s="19"/>
      <c r="D2" s="19"/>
      <c r="E2" s="19"/>
      <c r="F2" s="19"/>
      <c r="G2" s="19"/>
    </row>
    <row r="3" spans="2:13">
      <c r="C3" s="19"/>
      <c r="D3" s="19"/>
      <c r="E3" s="19"/>
      <c r="F3" s="19"/>
      <c r="G3" s="19"/>
    </row>
    <row r="5" spans="2:13" ht="41.4">
      <c r="B5" s="12" t="s">
        <v>0</v>
      </c>
      <c r="C5" s="12" t="s">
        <v>2</v>
      </c>
      <c r="D5" s="12" t="s">
        <v>42</v>
      </c>
      <c r="E5" s="13" t="s">
        <v>35</v>
      </c>
      <c r="F5" s="12" t="s">
        <v>37</v>
      </c>
      <c r="G5" s="12" t="s">
        <v>39</v>
      </c>
      <c r="H5" s="12" t="s">
        <v>38</v>
      </c>
      <c r="I5" s="12" t="s">
        <v>40</v>
      </c>
      <c r="J5" s="12" t="s">
        <v>41</v>
      </c>
      <c r="K5" s="12" t="s">
        <v>44</v>
      </c>
      <c r="L5" s="12" t="s">
        <v>43</v>
      </c>
      <c r="M5" s="12" t="s">
        <v>45</v>
      </c>
    </row>
    <row r="6" spans="2:13">
      <c r="B6" s="1" t="s">
        <v>5</v>
      </c>
      <c r="C6" s="2">
        <v>280800</v>
      </c>
      <c r="D6" s="1">
        <v>280800</v>
      </c>
      <c r="E6" s="1">
        <v>150864</v>
      </c>
      <c r="F6" s="1">
        <f>E6-D6</f>
        <v>-129936</v>
      </c>
      <c r="G6" s="1">
        <f>(H6*100)/E6</f>
        <v>0</v>
      </c>
      <c r="H6" s="1" t="str">
        <f t="shared" ref="H6:H17" si="0">IF(E6&gt;D6,E6-D6,"0")</f>
        <v>0</v>
      </c>
      <c r="I6" s="7">
        <f>(J6*100)/D6</f>
        <v>46.273504273504273</v>
      </c>
      <c r="J6" s="7">
        <f>IF(D6&gt;E6,D6-E6,"0")</f>
        <v>129936</v>
      </c>
      <c r="K6" s="1">
        <f>MIN(E6,C6)</f>
        <v>150864</v>
      </c>
      <c r="L6" s="1">
        <f>(E6*100)/C6</f>
        <v>53.726495726495727</v>
      </c>
      <c r="M6" s="1">
        <f>(E6*100)/D6</f>
        <v>53.726495726495727</v>
      </c>
    </row>
    <row r="7" spans="2:13">
      <c r="B7" s="1" t="s">
        <v>6</v>
      </c>
      <c r="C7" s="2">
        <v>286100</v>
      </c>
      <c r="D7" s="1">
        <v>286100</v>
      </c>
      <c r="E7" s="1">
        <v>168293</v>
      </c>
      <c r="F7" s="1">
        <f t="shared" ref="F7:F17" si="1">E7-D7</f>
        <v>-117807</v>
      </c>
      <c r="G7" s="1">
        <f t="shared" ref="G7:G17" si="2">(H7*100)/E7</f>
        <v>0</v>
      </c>
      <c r="H7" s="1" t="str">
        <f t="shared" si="0"/>
        <v>0</v>
      </c>
      <c r="I7" s="7">
        <f t="shared" ref="I7:I17" si="3">(J7*100)/D7</f>
        <v>41.176861237329604</v>
      </c>
      <c r="J7" s="7">
        <f t="shared" ref="J7:J17" si="4">IF(D7&gt;E7,D7-E7,"0")</f>
        <v>117807</v>
      </c>
      <c r="K7" s="1">
        <f t="shared" ref="K7:K17" si="5">MIN(E7,C7)</f>
        <v>168293</v>
      </c>
      <c r="L7" s="1">
        <f t="shared" ref="L7:L17" si="6">(E7*100)/C7</f>
        <v>58.823138762670396</v>
      </c>
      <c r="M7" s="1">
        <f t="shared" ref="M7:M17" si="7">(E7*100)/D7</f>
        <v>58.823138762670396</v>
      </c>
    </row>
    <row r="8" spans="2:13">
      <c r="B8" s="1" t="s">
        <v>7</v>
      </c>
      <c r="C8" s="2">
        <v>275900</v>
      </c>
      <c r="D8" s="1">
        <v>275900</v>
      </c>
      <c r="E8" s="1">
        <v>218289</v>
      </c>
      <c r="F8" s="1">
        <f t="shared" si="1"/>
        <v>-57611</v>
      </c>
      <c r="G8" s="1">
        <f t="shared" si="2"/>
        <v>0</v>
      </c>
      <c r="H8" s="1" t="str">
        <f t="shared" si="0"/>
        <v>0</v>
      </c>
      <c r="I8" s="7">
        <f t="shared" si="3"/>
        <v>20.881116346502356</v>
      </c>
      <c r="J8" s="7">
        <f t="shared" si="4"/>
        <v>57611</v>
      </c>
      <c r="K8" s="1">
        <f t="shared" si="5"/>
        <v>218289</v>
      </c>
      <c r="L8" s="1">
        <f t="shared" si="6"/>
        <v>79.118883653497647</v>
      </c>
      <c r="M8" s="1">
        <f t="shared" si="7"/>
        <v>79.118883653497647</v>
      </c>
    </row>
    <row r="9" spans="2:13">
      <c r="B9" s="1" t="s">
        <v>8</v>
      </c>
      <c r="C9" s="2">
        <v>290122</v>
      </c>
      <c r="D9" s="1">
        <v>290122</v>
      </c>
      <c r="E9" s="1">
        <v>245872</v>
      </c>
      <c r="F9" s="1">
        <f t="shared" si="1"/>
        <v>-44250</v>
      </c>
      <c r="G9" s="1">
        <f t="shared" si="2"/>
        <v>0</v>
      </c>
      <c r="H9" s="1" t="str">
        <f t="shared" si="0"/>
        <v>0</v>
      </c>
      <c r="I9" s="7">
        <f t="shared" si="3"/>
        <v>15.252204245110677</v>
      </c>
      <c r="J9" s="7">
        <f t="shared" si="4"/>
        <v>44250</v>
      </c>
      <c r="K9" s="1">
        <f t="shared" si="5"/>
        <v>245872</v>
      </c>
      <c r="L9" s="1">
        <f t="shared" si="6"/>
        <v>84.747795754889324</v>
      </c>
      <c r="M9" s="1">
        <f t="shared" si="7"/>
        <v>84.747795754889324</v>
      </c>
    </row>
    <row r="10" spans="2:13">
      <c r="B10" s="1" t="s">
        <v>9</v>
      </c>
      <c r="C10" s="2">
        <v>285789</v>
      </c>
      <c r="D10" s="1">
        <v>285789</v>
      </c>
      <c r="E10" s="1">
        <v>264944</v>
      </c>
      <c r="F10" s="1">
        <f t="shared" si="1"/>
        <v>-20845</v>
      </c>
      <c r="G10" s="1">
        <f t="shared" si="2"/>
        <v>0</v>
      </c>
      <c r="H10" s="1" t="str">
        <f t="shared" si="0"/>
        <v>0</v>
      </c>
      <c r="I10" s="7">
        <f t="shared" si="3"/>
        <v>7.2938426601443727</v>
      </c>
      <c r="J10" s="7">
        <f t="shared" si="4"/>
        <v>20845</v>
      </c>
      <c r="K10" s="1">
        <f t="shared" si="5"/>
        <v>264944</v>
      </c>
      <c r="L10" s="1">
        <f t="shared" si="6"/>
        <v>92.706157339855622</v>
      </c>
      <c r="M10" s="1">
        <f t="shared" si="7"/>
        <v>92.706157339855622</v>
      </c>
    </row>
    <row r="11" spans="2:13">
      <c r="B11" s="1" t="s">
        <v>10</v>
      </c>
      <c r="C11" s="2">
        <v>280780</v>
      </c>
      <c r="D11" s="1">
        <v>280780</v>
      </c>
      <c r="E11" s="1">
        <v>279708</v>
      </c>
      <c r="F11" s="1">
        <f t="shared" si="1"/>
        <v>-1072</v>
      </c>
      <c r="G11" s="1">
        <f t="shared" si="2"/>
        <v>0</v>
      </c>
      <c r="H11" s="1" t="str">
        <f t="shared" si="0"/>
        <v>0</v>
      </c>
      <c r="I11" s="7">
        <f t="shared" si="3"/>
        <v>0.38179357504095734</v>
      </c>
      <c r="J11" s="7">
        <f t="shared" si="4"/>
        <v>1072</v>
      </c>
      <c r="K11" s="1">
        <f t="shared" si="5"/>
        <v>279708</v>
      </c>
      <c r="L11" s="1">
        <f t="shared" si="6"/>
        <v>99.618206424959041</v>
      </c>
      <c r="M11" s="1">
        <f t="shared" si="7"/>
        <v>99.618206424959041</v>
      </c>
    </row>
    <row r="12" spans="2:13">
      <c r="B12" s="1" t="s">
        <v>11</v>
      </c>
      <c r="C12" s="2">
        <v>300500</v>
      </c>
      <c r="D12" s="1">
        <v>300500</v>
      </c>
      <c r="E12" s="1">
        <v>292191</v>
      </c>
      <c r="F12" s="1">
        <f t="shared" si="1"/>
        <v>-8309</v>
      </c>
      <c r="G12" s="1">
        <f t="shared" si="2"/>
        <v>0</v>
      </c>
      <c r="H12" s="1" t="str">
        <f t="shared" si="0"/>
        <v>0</v>
      </c>
      <c r="I12" s="7">
        <f t="shared" si="3"/>
        <v>2.7650582362728784</v>
      </c>
      <c r="J12" s="7">
        <f t="shared" si="4"/>
        <v>8309</v>
      </c>
      <c r="K12" s="1">
        <f t="shared" si="5"/>
        <v>292191</v>
      </c>
      <c r="L12" s="1">
        <f t="shared" si="6"/>
        <v>97.234941763727122</v>
      </c>
      <c r="M12" s="1">
        <f t="shared" si="7"/>
        <v>97.234941763727122</v>
      </c>
    </row>
    <row r="13" spans="2:13">
      <c r="B13" s="1" t="s">
        <v>12</v>
      </c>
      <c r="C13" s="2">
        <v>301009</v>
      </c>
      <c r="D13" s="1">
        <v>301009</v>
      </c>
      <c r="E13" s="1">
        <v>278967</v>
      </c>
      <c r="F13" s="1">
        <f t="shared" si="1"/>
        <v>-22042</v>
      </c>
      <c r="G13" s="1">
        <f t="shared" si="2"/>
        <v>0</v>
      </c>
      <c r="H13" s="7" t="str">
        <f t="shared" si="0"/>
        <v>0</v>
      </c>
      <c r="I13" s="7">
        <f t="shared" si="3"/>
        <v>7.3227046367384361</v>
      </c>
      <c r="J13" s="7">
        <f t="shared" si="4"/>
        <v>22042</v>
      </c>
      <c r="K13" s="1">
        <f t="shared" si="5"/>
        <v>278967</v>
      </c>
      <c r="L13" s="1">
        <f t="shared" si="6"/>
        <v>92.677295363261564</v>
      </c>
      <c r="M13" s="1">
        <f t="shared" si="7"/>
        <v>92.677295363261564</v>
      </c>
    </row>
    <row r="14" spans="2:13">
      <c r="B14" s="1" t="s">
        <v>13</v>
      </c>
      <c r="C14" s="2">
        <v>269000</v>
      </c>
      <c r="D14" s="1">
        <v>269000</v>
      </c>
      <c r="E14" s="1">
        <v>236738</v>
      </c>
      <c r="F14" s="1">
        <f t="shared" si="1"/>
        <v>-32262</v>
      </c>
      <c r="G14" s="1">
        <f t="shared" si="2"/>
        <v>0</v>
      </c>
      <c r="H14" s="1" t="str">
        <f t="shared" si="0"/>
        <v>0</v>
      </c>
      <c r="I14" s="7">
        <f t="shared" si="3"/>
        <v>11.993308550185873</v>
      </c>
      <c r="J14" s="7">
        <f t="shared" si="4"/>
        <v>32262</v>
      </c>
      <c r="K14" s="1">
        <f t="shared" si="5"/>
        <v>236738</v>
      </c>
      <c r="L14" s="1">
        <f t="shared" si="6"/>
        <v>88.006691449814127</v>
      </c>
      <c r="M14" s="1">
        <f t="shared" si="7"/>
        <v>88.006691449814127</v>
      </c>
    </row>
    <row r="15" spans="2:13">
      <c r="B15" s="1" t="s">
        <v>14</v>
      </c>
      <c r="C15" s="2">
        <v>265890</v>
      </c>
      <c r="D15" s="1">
        <v>265890</v>
      </c>
      <c r="E15" s="1">
        <v>201519</v>
      </c>
      <c r="F15" s="1">
        <f t="shared" si="1"/>
        <v>-64371</v>
      </c>
      <c r="G15" s="1">
        <f t="shared" si="2"/>
        <v>0</v>
      </c>
      <c r="H15" s="1" t="str">
        <f t="shared" si="0"/>
        <v>0</v>
      </c>
      <c r="I15" s="7">
        <f t="shared" si="3"/>
        <v>24.209635563578924</v>
      </c>
      <c r="J15" s="7">
        <f t="shared" si="4"/>
        <v>64371</v>
      </c>
      <c r="K15" s="1">
        <f t="shared" si="5"/>
        <v>201519</v>
      </c>
      <c r="L15" s="1">
        <f t="shared" si="6"/>
        <v>75.790364436421072</v>
      </c>
      <c r="M15" s="1">
        <f t="shared" si="7"/>
        <v>75.790364436421072</v>
      </c>
    </row>
    <row r="16" spans="2:13">
      <c r="B16" s="1" t="s">
        <v>15</v>
      </c>
      <c r="C16" s="2">
        <v>267980</v>
      </c>
      <c r="D16" s="1">
        <v>267980</v>
      </c>
      <c r="E16" s="1">
        <v>158165</v>
      </c>
      <c r="F16" s="1">
        <f t="shared" si="1"/>
        <v>-109815</v>
      </c>
      <c r="G16" s="1">
        <f t="shared" si="2"/>
        <v>0</v>
      </c>
      <c r="H16" s="1" t="str">
        <f t="shared" si="0"/>
        <v>0</v>
      </c>
      <c r="I16" s="7">
        <f t="shared" si="3"/>
        <v>40.978804388387196</v>
      </c>
      <c r="J16" s="7">
        <f t="shared" si="4"/>
        <v>109815</v>
      </c>
      <c r="K16" s="1">
        <f t="shared" si="5"/>
        <v>158165</v>
      </c>
      <c r="L16" s="1">
        <f t="shared" si="6"/>
        <v>59.021195611612804</v>
      </c>
      <c r="M16" s="1">
        <f t="shared" si="7"/>
        <v>59.021195611612804</v>
      </c>
    </row>
    <row r="17" spans="2:13">
      <c r="B17" s="1" t="s">
        <v>16</v>
      </c>
      <c r="C17" s="2">
        <v>278907</v>
      </c>
      <c r="D17" s="1">
        <v>278907</v>
      </c>
      <c r="E17" s="1">
        <v>146235</v>
      </c>
      <c r="F17" s="1">
        <f t="shared" si="1"/>
        <v>-132672</v>
      </c>
      <c r="G17" s="1">
        <f t="shared" si="2"/>
        <v>0</v>
      </c>
      <c r="H17" s="1" t="str">
        <f t="shared" si="0"/>
        <v>0</v>
      </c>
      <c r="I17" s="7">
        <f t="shared" si="3"/>
        <v>47.568544353494175</v>
      </c>
      <c r="J17" s="7">
        <f t="shared" si="4"/>
        <v>132672</v>
      </c>
      <c r="K17" s="1">
        <f t="shared" si="5"/>
        <v>146235</v>
      </c>
      <c r="L17" s="1">
        <f t="shared" si="6"/>
        <v>52.431455646505825</v>
      </c>
      <c r="M17" s="1">
        <f t="shared" si="7"/>
        <v>52.431455646505825</v>
      </c>
    </row>
    <row r="18" spans="2:13">
      <c r="B18" s="6" t="s">
        <v>36</v>
      </c>
      <c r="C18" s="1"/>
      <c r="D18" s="1"/>
      <c r="E18" s="1">
        <v>2647079</v>
      </c>
      <c r="F18" s="1"/>
      <c r="G18" s="1"/>
      <c r="H18" s="1"/>
      <c r="I18" s="1"/>
      <c r="J18" s="1"/>
      <c r="K18" s="1"/>
      <c r="L18" s="1"/>
      <c r="M18" s="1">
        <f>AVERAGE(M6:M17)</f>
        <v>77.825218494475862</v>
      </c>
    </row>
    <row r="25" spans="2:13">
      <c r="B25" t="s">
        <v>48</v>
      </c>
    </row>
  </sheetData>
  <mergeCells count="1">
    <mergeCell ref="C1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Consommation</vt:lpstr>
      <vt:lpstr>Production</vt:lpstr>
      <vt:lpstr>Adéquation</vt:lpstr>
      <vt:lpstr>Chiffre clès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2025-09-19T08:29:05Z</dcterms:created>
  <dcterms:modified xsi:type="dcterms:W3CDTF">2025-12-28T13:57:50Z</dcterms:modified>
</cp:coreProperties>
</file>